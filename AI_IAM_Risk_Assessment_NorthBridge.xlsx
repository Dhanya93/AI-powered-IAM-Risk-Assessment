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Executive Summary" sheetId="2" state="visible" r:id="rId4"/>
    <sheet name="AI IAM Architecture" sheetId="3" state="visible" r:id="rId5"/>
    <sheet name="Risk Register" sheetId="4" state="visible" r:id="rId6"/>
    <sheet name="Control Mapping" sheetId="5" state="visible" r:id="rId7"/>
    <sheet name="Remediation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<sst xmlns="http://schemas.openxmlformats.org/spreadsheetml/2006/main" count="602" uniqueCount="403">
  <si>
    <t xml:space="preserve">AI-POWERED IAM RISK ASSESSMENT</t>
  </si>
  <si>
    <t xml:space="preserve">Identifying and Managing Risks in AI-Driven Identity &amp; Access Management Systems</t>
  </si>
  <si>
    <t xml:space="preserve">Organisation</t>
  </si>
  <si>
    <t xml:space="preserve">NorthBridge Financial Corp</t>
  </si>
  <si>
    <t xml:space="preserve">Industry</t>
  </si>
  <si>
    <t xml:space="preserve">Financial Services / Banking</t>
  </si>
  <si>
    <t xml:space="preserve">Headquarters</t>
  </si>
  <si>
    <t xml:space="preserve">Toronto, Ontario, Canada</t>
  </si>
  <si>
    <t xml:space="preserve">Size</t>
  </si>
  <si>
    <t xml:space="preserve">~2,000 employees, 3 regional offices</t>
  </si>
  <si>
    <t xml:space="preserve">AI IAM Systems</t>
  </si>
  <si>
    <t xml:space="preserve">Workforce IAM Agent + Customer Authentication AI + Predictive Access Analytics</t>
  </si>
  <si>
    <t xml:space="preserve">Assessment Type</t>
  </si>
  <si>
    <t xml:space="preserve">AI Risk Assessment — Second Line of Defense (2LOD)</t>
  </si>
  <si>
    <t xml:space="preserve">Frameworks Applied</t>
  </si>
  <si>
    <t xml:space="preserve">NIST AI RMF · OWASP LLM Top 10 · ISO 27001:2022 A.8 · NIST SP 800-53 AC</t>
  </si>
  <si>
    <t xml:space="preserve">Regulatory Context</t>
  </si>
  <si>
    <t xml:space="preserve">OSFI B-13 · PIPEDA · FINTRAC · Canadian Banking Act</t>
  </si>
  <si>
    <t xml:space="preserve">Assessor</t>
  </si>
  <si>
    <t xml:space="preserve">Dhanya Mary Sam — AI Analyst, GRC &amp; AI Governance</t>
  </si>
  <si>
    <t xml:space="preserve">Assessment Date</t>
  </si>
  <si>
    <t xml:space="preserve">June 2026</t>
  </si>
  <si>
    <t xml:space="preserve">Version</t>
  </si>
  <si>
    <t xml:space="preserve">v1.0</t>
  </si>
  <si>
    <t xml:space="preserve">⚠  This assessment was developed for portfolio and educational purposes. NorthBridge Financial Corp is a fictional organisation. All risks, findings, and scores are illustrative.</t>
  </si>
  <si>
    <t xml:space="preserve">EXECUTIVE SUMMARY — AI-POWERED IAM RISK ASSESSMENT</t>
  </si>
  <si>
    <t xml:space="preserve">Risk Portfolio Overview</t>
  </si>
  <si>
    <t xml:space="preserve">Risk Level</t>
  </si>
  <si>
    <t xml:space="preserve">Count</t>
  </si>
  <si>
    <t xml:space="preserve">% of Total</t>
  </si>
  <si>
    <t xml:space="preserve">Primary Domain</t>
  </si>
  <si>
    <t xml:space="preserve">Immediate Action Required</t>
  </si>
  <si>
    <t xml:space="preserve">🔴 Critical</t>
  </si>
  <si>
    <t xml:space="preserve">AI Agent Decision Errors, Prompt Injection</t>
  </si>
  <si>
    <t xml:space="preserve">Yes — immediate</t>
  </si>
  <si>
    <t xml:space="preserve">🟠 High</t>
  </si>
  <si>
    <t xml:space="preserve">Privilege Escalation, Bias, Explainability</t>
  </si>
  <si>
    <t xml:space="preserve">Yes — within 30 days</t>
  </si>
  <si>
    <t xml:space="preserve">🟡 Medium</t>
  </si>
  <si>
    <t xml:space="preserve">Audit Gaps, Data Quality, Integration Failures</t>
  </si>
  <si>
    <t xml:space="preserve">Within 90 days</t>
  </si>
  <si>
    <t xml:space="preserve">🟢 Low</t>
  </si>
  <si>
    <t xml:space="preserve">Documentation, Training</t>
  </si>
  <si>
    <t xml:space="preserve">Ongoing</t>
  </si>
  <si>
    <t xml:space="preserve">TOTAL</t>
  </si>
  <si>
    <t xml:space="preserve">100%</t>
  </si>
  <si>
    <t xml:space="preserve">Key Findings</t>
  </si>
  <si>
    <t xml:space="preserve">#</t>
  </si>
  <si>
    <t xml:space="preserve">Finding</t>
  </si>
  <si>
    <t xml:space="preserve">Severity</t>
  </si>
  <si>
    <t xml:space="preserve">AI System Affected</t>
  </si>
  <si>
    <t xml:space="preserve">AI Agent making autonomous access decisions without explainability — no audit trail for why access was granted or denied</t>
  </si>
  <si>
    <t xml:space="preserve">Critical</t>
  </si>
  <si>
    <t xml:space="preserve">Workforce IAM Agent</t>
  </si>
  <si>
    <t xml:space="preserve">Prompt injection vulnerabilities in natural language IAM interfaces — attackers can manipulate AI access decisions</t>
  </si>
  <si>
    <t xml:space="preserve">Customer Auth AI + IAM Agent</t>
  </si>
  <si>
    <t xml:space="preserve">AI model trained on historical access patterns perpetuating privilege creep — over-provisioned access normalised at scale</t>
  </si>
  <si>
    <t xml:space="preserve">Predictive Access Analytics</t>
  </si>
  <si>
    <t xml:space="preserve">No formal AI incident response procedure for IAM failures — undefined escalation when AI agent denies mass access</t>
  </si>
  <si>
    <t xml:space="preserve">All AI IAM Systems</t>
  </si>
  <si>
    <t xml:space="preserve">Bias in AI access recommendations — demographically correlated access denial patterns not monitored</t>
  </si>
  <si>
    <t xml:space="preserve">High</t>
  </si>
  <si>
    <t xml:space="preserve">Single point of failure — no fallback to rule-based IAM when AI agent is unavailable</t>
  </si>
  <si>
    <t xml:space="preserve">Third-party AI IAM vendor has no SOC 2 Type II or AI-specific audit — supply chain risk unmanaged</t>
  </si>
  <si>
    <t xml:space="preserve">AI access logs not integrated into SIEM — anomalous AI decisions not visible to security operations</t>
  </si>
  <si>
    <t xml:space="preserve">Customer authentication AI not subject to DPIA under PIPEDA — personal data processed without privacy review</t>
  </si>
  <si>
    <t xml:space="preserve">Customer Auth AI</t>
  </si>
  <si>
    <t xml:space="preserve">AI IAM ARCHITECTURE — NORTHBRIDGE FINANCIAL CORP</t>
  </si>
  <si>
    <t xml:space="preserve">Three AI systems operate across NorthBridge's IAM landscape, each with distinct functions, data sources, and risk profiles.</t>
  </si>
  <si>
    <t xml:space="preserve">AI System</t>
  </si>
  <si>
    <t xml:space="preserve">Function</t>
  </si>
  <si>
    <t xml:space="preserve">AI Type</t>
  </si>
  <si>
    <t xml:space="preserve">Data Sources</t>
  </si>
  <si>
    <t xml:space="preserve">Key Risk Area</t>
  </si>
  <si>
    <t xml:space="preserve">Autonomous provisioning, de-provisioning, and access review for 2,000 employees and contractors. Makes real-time access grant/deny decisions.</t>
  </si>
  <si>
    <t xml:space="preserve">AI Agent (Agentic AI)</t>
  </si>
  <si>
    <t xml:space="preserve">HR System, Active Directory, Access Logs, Role Matrices, Behavioural Baselines</t>
  </si>
  <si>
    <t xml:space="preserve">Autonomous decisions without explainability; no human-in-the-loop for high-risk grants</t>
  </si>
  <si>
    <t xml:space="preserve">Customer Authentication AI</t>
  </si>
  <si>
    <t xml:space="preserve">Biometric + behavioural authentication for 180,000 retail banking customers. Detects account takeover and step-up auth triggers.</t>
  </si>
  <si>
    <t xml:space="preserve">Predictive AI + AI Agent</t>
  </si>
  <si>
    <t xml:space="preserve">Biometric Data, Transaction History, Device Fingerprints, Location Data, PII</t>
  </si>
  <si>
    <t xml:space="preserve">PIPEDA compliance; prompt injection via natural language banking interface; false positives locking legitimate customers out</t>
  </si>
  <si>
    <t xml:space="preserve">Analyses historical access patterns to recommend role assignments, flag anomalous access, and predict SoD (Segregation of Duties) violations before they occur.</t>
  </si>
  <si>
    <t xml:space="preserve">Predictive AI</t>
  </si>
  <si>
    <t xml:space="preserve">Access Logs, Role Definitions, HR Data, Peer Group Benchmarks, Incident History</t>
  </si>
  <si>
    <t xml:space="preserve">Training data bias; privilege creep normalisation; recommendations accepted without human review</t>
  </si>
  <si>
    <t xml:space="preserve">AI Types in Scope</t>
  </si>
  <si>
    <t xml:space="preserve">Definition in IAM Context</t>
  </si>
  <si>
    <t xml:space="preserve">AI Agent</t>
  </si>
  <si>
    <t xml:space="preserve">Autonomous system that perceives environment, makes decisions, and takes actions — can provision/de-provision access without human approval</t>
  </si>
  <si>
    <t xml:space="preserve">Uses ML models to forecast outcomes — flags anomalous access patterns, predicts SoD violations, recommends role assignments</t>
  </si>
  <si>
    <t xml:space="preserve">Agentic AI</t>
  </si>
  <si>
    <t xml:space="preserve">Multi-step reasoning agent capable of executing complex IAM workflows — combines decision-making with tool use across multiple systems</t>
  </si>
  <si>
    <t xml:space="preserve">AI-POWERED IAM RISK REGISTER — NORTHBRIDGE FINANCIAL CORP</t>
  </si>
  <si>
    <t xml:space="preserve">ID</t>
  </si>
  <si>
    <t xml:space="preserve">Risk Description</t>
  </si>
  <si>
    <t xml:space="preserve">Risk Category</t>
  </si>
  <si>
    <t xml:space="preserve">Likelihood
(1-5)</t>
  </si>
  <si>
    <t xml:space="preserve">Impact
(1-5)</t>
  </si>
  <si>
    <t xml:space="preserve">Risk Score
(L×I)</t>
  </si>
  <si>
    <t xml:space="preserve">Recommended Control</t>
  </si>
  <si>
    <t xml:space="preserve">Framework Reference</t>
  </si>
  <si>
    <t xml:space="preserve">R-01</t>
  </si>
  <si>
    <t xml:space="preserve">AI Agent makes autonomous access grant/deny decisions with no explainability — unable to audit why specific access was approved or denied, violating audit trail requirements</t>
  </si>
  <si>
    <t xml:space="preserve">Explainability &amp; Auditability</t>
  </si>
  <si>
    <t xml:space="preserve">Implement decision logging capturing model inputs, outputs, and confidence scores for every access decision. Require explainable AI (XAI) techniques for high-risk grants.</t>
  </si>
  <si>
    <t xml:space="preserve">NIST AI RMF: GOVERN 1.7, MANAGE 2.2 | ISO 27001: A.8.15 | NIST 800-53: AU-2, AU-12</t>
  </si>
  <si>
    <t xml:space="preserve">R-02</t>
  </si>
  <si>
    <t xml:space="preserve">Prompt injection attack via natural language banking interface manipulates Customer Auth AI into bypassing authentication — attacker crafts malicious input to override access controls</t>
  </si>
  <si>
    <t xml:space="preserve">Prompt Injection &amp; Adversarial Attack</t>
  </si>
  <si>
    <t xml:space="preserve">Implement input validation and sanitisation for all natural language inputs. Deploy prompt injection detection layer. Red team test regularly.</t>
  </si>
  <si>
    <t xml:space="preserve">OWASP LLM Top 10: LLM01 | NIST AI RMF: MAP 5.1 | ISO 27001: A.8.7</t>
  </si>
  <si>
    <t xml:space="preserve">R-03</t>
  </si>
  <si>
    <t xml:space="preserve">AI trained on historical access patterns normalises privilege creep — employees with historically over-provisioned access are used as peer benchmarks, perpetuating and scaling excessive access</t>
  </si>
  <si>
    <t xml:space="preserve">Training Data &amp; Model Bias</t>
  </si>
  <si>
    <t xml:space="preserve">Audit training datasets for privilege creep baseline. Implement regular model retraining with cleaned, least-privilege benchmarks. Human review of all access recommendations above threshold.</t>
  </si>
  <si>
    <t xml:space="preserve">NIST AI RMF: MAP 2.3, MANAGE 3.1 | NIST 800-53: AC-6 | OSFI B-13: S.3</t>
  </si>
  <si>
    <t xml:space="preserve">R-04</t>
  </si>
  <si>
    <t xml:space="preserve">No AI-specific incident response procedure — undefined escalation path when IAM AI agent malfunctions, denies mass access, or is compromised. Traditional IR playbooks don't cover AI failure modes</t>
  </si>
  <si>
    <t xml:space="preserve">Incident Response &amp; Resilience</t>
  </si>
  <si>
    <t xml:space="preserve">Develop AI IAM Incident Response Playbook covering: mass access denial, model poisoning, AI agent compromise, prompt injection incidents. Define escalation, containment, and rollback procedures.</t>
  </si>
  <si>
    <t xml:space="preserve">NIST AI RMF: RESPOND 1.1 | ISO 27001: A.5.26 | NIST 800-53: IR-4, IR-9</t>
  </si>
  <si>
    <t xml:space="preserve">R-05</t>
  </si>
  <si>
    <t xml:space="preserve">AI access recommendations exhibit demographically correlated denial patterns — model may inadvertently discriminate based on features correlated with protected characteristics</t>
  </si>
  <si>
    <t xml:space="preserve">Algorithmic Bias &amp; Fairness</t>
  </si>
  <si>
    <t xml:space="preserve">Implement fairness metrics and bias monitoring in model evaluation pipeline. Regular demographic disparity analysis on access decisions. Document bias testing results.</t>
  </si>
  <si>
    <t xml:space="preserve">NIST AI RMF: MAP 5.2, MEASURE 2.5 | OSFI B-13: S.2 | Canadian Human Rights Act</t>
  </si>
  <si>
    <t xml:space="preserve">R-06</t>
  </si>
  <si>
    <t xml:space="preserve">Single point of failure — no fallback to rule-based IAM when AI agent is unavailable. System outage causes enterprise-wide access failure affecting all 2,000 employees</t>
  </si>
  <si>
    <t xml:space="preserve">Resilience &amp; Business Continuity</t>
  </si>
  <si>
    <t xml:space="preserve">Implement rule-based IAM fallback system activated automatically on AI agent failure. Define RTO/RPO for AI IAM systems. Test failover quarterly.</t>
  </si>
  <si>
    <t xml:space="preserve">ISO 27001: A.8.14 | NIST 800-53: CP-10 | OSFI B-13: S.4</t>
  </si>
  <si>
    <t xml:space="preserve">R-07</t>
  </si>
  <si>
    <t xml:space="preserve">Third-party AI IAM vendor has not provided SOC 2 Type II or AI-specific security audit. Supply chain risk — vendor model updates could introduce vulnerabilities without NorthBridge's knowledge</t>
  </si>
  <si>
    <t xml:space="preserve">Third-Party &amp; Supply Chain Risk</t>
  </si>
  <si>
    <t xml:space="preserve">Require vendor SOC 2 Type II and AI model audit as contractual obligation. Implement change notification SLA for model updates. Annual vendor risk reassessment.</t>
  </si>
  <si>
    <t xml:space="preserve">NIST AI RMF: GOVERN 6.1 | ISO 27001: A.5.19 | OSFI B-13: S.5</t>
  </si>
  <si>
    <t xml:space="preserve">R-08</t>
  </si>
  <si>
    <t xml:space="preserve">AI access decision logs not integrated into SIEM — anomalous AI behaviour (unusual access patterns, decision drift) invisible to security operations team</t>
  </si>
  <si>
    <t xml:space="preserve">Monitoring &amp; Detection</t>
  </si>
  <si>
    <t xml:space="preserve">Integrate AI IAM decision logs into SIEM (Microsoft Sentinel). Define alerts for access decision anomalies, volume spikes, and model confidence degradation.</t>
  </si>
  <si>
    <t xml:space="preserve">ISO 27001: A.8.15, A.8.16 | NIST 800-53: SI-4 | NIST AI RMF: MEASURE 2.6</t>
  </si>
  <si>
    <t xml:space="preserve">R-09</t>
  </si>
  <si>
    <t xml:space="preserve">Customer Authentication AI processes biometric and behavioural PII without DPIA under PIPEDA — no privacy impact assessment conducted prior to deployment</t>
  </si>
  <si>
    <t xml:space="preserve">Privacy &amp; Regulatory Compliance</t>
  </si>
  <si>
    <t xml:space="preserve">Conduct PIPEDA DPIA immediately. Document lawful basis for biometric processing. Implement data minimisation. Register AI system in AI inventory.</t>
  </si>
  <si>
    <t xml:space="preserve">PIPEDA | ISO 27001: A.5.34 | NIST AI RMF: MAP 1.6 | OSFI B-13</t>
  </si>
  <si>
    <t xml:space="preserve">R-10</t>
  </si>
  <si>
    <t xml:space="preserve">AI Agent can escalate its own access permissions through chained tool calls — agentic AI accesses multiple systems sequentially, potentially accumulating privileges beyond intended scope</t>
  </si>
  <si>
    <t xml:space="preserve">Privilege Escalation &amp; Agentic Risk</t>
  </si>
  <si>
    <t xml:space="preserve">Implement strict tool-use boundaries for AI Agent. Define maximum permission scope per session. Monitor for chained access patterns. Apply least-privilege principle to AI agent identity.</t>
  </si>
  <si>
    <t xml:space="preserve">OWASP LLM Top 10: LLM08 | NIST AI RMF: MAP 5.5 | NIST 800-53: AC-6</t>
  </si>
  <si>
    <t xml:space="preserve">R-11</t>
  </si>
  <si>
    <t xml:space="preserve">Model inversion attack — adversary queries Predictive Access Analytics repeatedly to reconstruct training data, potentially exposing HR records and sensitive access histories</t>
  </si>
  <si>
    <t xml:space="preserve">Adversarial Attack &amp; Data Exposure</t>
  </si>
  <si>
    <t xml:space="preserve">Medium</t>
  </si>
  <si>
    <t xml:space="preserve">Implement query rate limiting and anomaly detection on model API. Apply differential privacy techniques. Monitor for systematic probing patterns.</t>
  </si>
  <si>
    <t xml:space="preserve">OWASP LLM Top 10: LLM02 | NIST AI RMF: MAP 5.1 | ISO 27001: A.8.12</t>
  </si>
  <si>
    <t xml:space="preserve">R-12</t>
  </si>
  <si>
    <t xml:space="preserve">AI access recommendations accepted without human review for standard roles — rubber-stamping creates accountability gap where no human has assessed access grants</t>
  </si>
  <si>
    <t xml:space="preserve">Human Oversight &amp; Accountability</t>
  </si>
  <si>
    <t xml:space="preserve">Define access risk tiers requiring mandatory human review. Implement four-eyes principle for privileged role assignments. Log human review decisions.</t>
  </si>
  <si>
    <t xml:space="preserve">NIST AI RMF: GOVERN 5.1 | ISO 27001: A.8.2 | NIST 800-53: AC-5</t>
  </si>
  <si>
    <t xml:space="preserve">R-13</t>
  </si>
  <si>
    <t xml:space="preserve">AI agent session tokens not expiring correctly — long-lived agent sessions maintain access beyond intended duration, creating persistent access risk</t>
  </si>
  <si>
    <t xml:space="preserve">Session Management</t>
  </si>
  <si>
    <t xml:space="preserve">Implement strict session timeout for AI agent tokens. Apply same session management standards as human users. Monitor for long-lived sessions.</t>
  </si>
  <si>
    <t xml:space="preserve">ISO 27001: A.8.5 | NIST 800-53: AC-12 | NIST AI RMF: MANAGE 2.4</t>
  </si>
  <si>
    <t xml:space="preserve">R-14</t>
  </si>
  <si>
    <t xml:space="preserve">Insufficient testing of AI IAM system before production deployment — no adversarial testing or red team exercise conducted on AI access controls</t>
  </si>
  <si>
    <t xml:space="preserve">Testing &amp; Validation</t>
  </si>
  <si>
    <t xml:space="preserve">Implement pre-deployment adversarial testing framework. Require red team exercises specifically targeting AI IAM systems. Document test results.</t>
  </si>
  <si>
    <t xml:space="preserve">NIST AI RMF: MEASURE 2.2 | OWASP LLM Top 10 | ISO 27001: A.8.29</t>
  </si>
  <si>
    <t xml:space="preserve">R-15</t>
  </si>
  <si>
    <t xml:space="preserve">AI model drift — Workforce IAM Agent performance degrades over time as organisational access patterns evolve, leading to increasingly inaccurate access decisions</t>
  </si>
  <si>
    <t xml:space="preserve">Model Performance &amp; Drift</t>
  </si>
  <si>
    <t xml:space="preserve">Implement continuous model performance monitoring. Define performance thresholds triggering retraining. Schedule quarterly model evaluation reviews.</t>
  </si>
  <si>
    <t xml:space="preserve">NIST AI RMF: MEASURE 2.7 | OSFI B-13: S.3 | ISO 27001: A.8.16</t>
  </si>
  <si>
    <t xml:space="preserve">R-16</t>
  </si>
  <si>
    <t xml:space="preserve">No AI governance policy specifically covering IAM AI systems — existing IAM policy does not address AI-specific risks, responsibilities, or controls</t>
  </si>
  <si>
    <t xml:space="preserve">Governance &amp; Policy</t>
  </si>
  <si>
    <t xml:space="preserve">Develop AI IAM Governance Policy covering: acceptable use, human oversight requirements, model management, incident response, and vendor management.</t>
  </si>
  <si>
    <t xml:space="preserve">NIST AI RMF: GOVERN 1.1 | ISO 27001: A.5.1 | OSFI B-13: S.1</t>
  </si>
  <si>
    <t xml:space="preserve">R-17</t>
  </si>
  <si>
    <t xml:space="preserve">Training data includes access patterns from terminated employees not properly purged — AI recommendations influenced by stale, invalid access histories</t>
  </si>
  <si>
    <t xml:space="preserve">Data Quality &amp; Integrity</t>
  </si>
  <si>
    <t xml:space="preserve">Implement automated data purging pipeline removing terminated employee data from training sets. Validate training data quality before each model update.</t>
  </si>
  <si>
    <t xml:space="preserve">ISO 27001: A.8.10 | NIST AI RMF: MAP 2.3 | PIPEDA</t>
  </si>
  <si>
    <t xml:space="preserve">R-18</t>
  </si>
  <si>
    <t xml:space="preserve">Customer Auth AI false positive rate too high — legitimate customers locked out during peak periods, creating customer service burden and potential OSFI complaints</t>
  </si>
  <si>
    <t xml:space="preserve">Performance &amp; Customer Impact</t>
  </si>
  <si>
    <t xml:space="preserve">Define acceptable false positive rate SLA. Implement real-time false positive monitoring. Create fast-track human review process for AI-locked accounts.</t>
  </si>
  <si>
    <t xml:space="preserve">OSFI B-13 | NIST AI RMF: MEASURE 2.5 | Customer Service Standards</t>
  </si>
  <si>
    <t xml:space="preserve">R-19</t>
  </si>
  <si>
    <t xml:space="preserve">AI IAM system not included in business continuity plan — disaster recovery procedures do not account for AI model unavailability or corruption</t>
  </si>
  <si>
    <t xml:space="preserve">Business Continuity</t>
  </si>
  <si>
    <t xml:space="preserve">Update BCP/DRP to include AI IAM systems. Define recovery procedures for model corruption. Test AI IAM recovery scenarios annually.</t>
  </si>
  <si>
    <t xml:space="preserve">ISO 27001: A.5.30 | NIST 800-53: CP-2 | OSFI B-13: S.4</t>
  </si>
  <si>
    <t xml:space="preserve">R-20</t>
  </si>
  <si>
    <t xml:space="preserve">Insufficient staff training on AI IAM risks — IT and security staff unaware of AI-specific failure modes, prompt injection risks, and escalation procedures</t>
  </si>
  <si>
    <t xml:space="preserve">Training &amp; Awareness</t>
  </si>
  <si>
    <t xml:space="preserve">Develop AI IAM security awareness training. Include AI-specific scenarios in security training programme. Require annual completion for all IAM administrators.</t>
  </si>
  <si>
    <t xml:space="preserve">NIST AI RMF: GOVERN 4.1 | ISO 27001: A.6.3 | OSFI B-13: S.2</t>
  </si>
  <si>
    <t xml:space="preserve">R-21</t>
  </si>
  <si>
    <t xml:space="preserve">No SoD (Segregation of Duties) controls applied to AI IAM system administration — same team builds, deploys, and monitors AI models without independent oversight</t>
  </si>
  <si>
    <t xml:space="preserve">Segregation of Duties</t>
  </si>
  <si>
    <t xml:space="preserve">Implement SoD for AI IAM administration. Separate model development, deployment, and monitoring roles. Require independent review for model updates.</t>
  </si>
  <si>
    <t xml:space="preserve">ISO 27001: A.5.3 | NIST 800-53: AC-5 | NIST AI RMF: GOVERN 5.2</t>
  </si>
  <si>
    <t xml:space="preserve">R-22</t>
  </si>
  <si>
    <t xml:space="preserve">AI agent API not rate-limited — adversary can query AI IAM agent at scale to probe access decision logic and map permission boundaries</t>
  </si>
  <si>
    <t xml:space="preserve">API Security</t>
  </si>
  <si>
    <t xml:space="preserve">Implement API rate limiting on AI IAM agent endpoints. Monitor for unusual query patterns. Require authentication for all API calls.</t>
  </si>
  <si>
    <t xml:space="preserve">OWASP LLM Top 10: LLM04 | ISO 27001: A.8.20 | NIST 800-53: SC-5</t>
  </si>
  <si>
    <t xml:space="preserve">R-23</t>
  </si>
  <si>
    <t xml:space="preserve">AI model weights stored without encryption — if storage is compromised, adversary could extract, copy, or modify model weights</t>
  </si>
  <si>
    <t xml:space="preserve">Model &amp; Data Security</t>
  </si>
  <si>
    <t xml:space="preserve">Encrypt AI model weights at rest and in transit. Implement access controls on model storage. Log all model access events.</t>
  </si>
  <si>
    <t xml:space="preserve">ISO 27001: A.8.24 | NIST 800-53: SC-28 | NIST AI RMF: MANAGE 2.4</t>
  </si>
  <si>
    <t xml:space="preserve">R-24</t>
  </si>
  <si>
    <t xml:space="preserve">No formal AI risk register maintained — AI IAM risks not tracked, owned, or reviewed on a scheduled basis</t>
  </si>
  <si>
    <t xml:space="preserve">Risk Management</t>
  </si>
  <si>
    <t xml:space="preserve">Establish and maintain AI risk register (this document). Assign risk owners. Schedule quarterly risk reviews. Integrate with enterprise risk management framework.</t>
  </si>
  <si>
    <t xml:space="preserve">NIST AI RMF: GOVERN 1.4 | ISO 27001: Clause 6.1 | OSFI B-13</t>
  </si>
  <si>
    <t xml:space="preserve">R-25</t>
  </si>
  <si>
    <t xml:space="preserve">Customer Auth AI vendor retains biometric data for model training without explicit customer consent — potential PIPEDA violation and reputational risk</t>
  </si>
  <si>
    <t xml:space="preserve">Privacy &amp; Consent</t>
  </si>
  <si>
    <t xml:space="preserve">Review vendor data processing agreement. Require explicit consent for biometric model training. Implement data deletion rights process.</t>
  </si>
  <si>
    <t xml:space="preserve">PIPEDA | GDPR (for international customers) | ISO 27001: A.5.34</t>
  </si>
  <si>
    <t xml:space="preserve">CONTROL MAPPING — AI IAM RISK CONTROLS vs FRAMEWORKS</t>
  </si>
  <si>
    <t xml:space="preserve">Risk ID</t>
  </si>
  <si>
    <t xml:space="preserve">Control</t>
  </si>
  <si>
    <t xml:space="preserve">NIST AI RMF</t>
  </si>
  <si>
    <t xml:space="preserve">OWASP LLM Top 10</t>
  </si>
  <si>
    <t xml:space="preserve">ISO 27001:2022</t>
  </si>
  <si>
    <t xml:space="preserve">NIST SP 800-53</t>
  </si>
  <si>
    <t xml:space="preserve">AI Decision Logging &amp; XAI</t>
  </si>
  <si>
    <t xml:space="preserve">GOVERN 1.7, MANAGE 2.2</t>
  </si>
  <si>
    <t xml:space="preserve">LLM06 (Sensitive Info)</t>
  </si>
  <si>
    <t xml:space="preserve">A.8.15 (Logging)</t>
  </si>
  <si>
    <t xml:space="preserve">AU-2, AU-12</t>
  </si>
  <si>
    <t xml:space="preserve">Prompt Injection Prevention</t>
  </si>
  <si>
    <t xml:space="preserve">MAP 5.1</t>
  </si>
  <si>
    <t xml:space="preserve">LLM01 (Prompt Injection)</t>
  </si>
  <si>
    <t xml:space="preserve">A.8.7 (Malware Protection)</t>
  </si>
  <si>
    <t xml:space="preserve">SI-10, SI-15</t>
  </si>
  <si>
    <t xml:space="preserve">Training Data Governance</t>
  </si>
  <si>
    <t xml:space="preserve">MAP 2.3, MANAGE 3.1</t>
  </si>
  <si>
    <t xml:space="preserve">LLM03 (Training Data)</t>
  </si>
  <si>
    <t xml:space="preserve">A.8.10 (Info Deletion)</t>
  </si>
  <si>
    <t xml:space="preserve">AC-6, SA-9</t>
  </si>
  <si>
    <t xml:space="preserve">AI Incident Response Playbook</t>
  </si>
  <si>
    <t xml:space="preserve">RESPOND 1.1, 1.2</t>
  </si>
  <si>
    <t xml:space="preserve">LLM09 (Overreliance)</t>
  </si>
  <si>
    <t xml:space="preserve">A.5.26 (IR Planning)</t>
  </si>
  <si>
    <t xml:space="preserve">IR-4, IR-8, IR-9</t>
  </si>
  <si>
    <t xml:space="preserve">Bias &amp; Fairness Monitoring</t>
  </si>
  <si>
    <t xml:space="preserve">MAP 5.2, MEASURE 2.5</t>
  </si>
  <si>
    <t xml:space="preserve">LLM09</t>
  </si>
  <si>
    <t xml:space="preserve">A.5.2 (IS Roles)</t>
  </si>
  <si>
    <t xml:space="preserve">SA-11, PM-26</t>
  </si>
  <si>
    <t xml:space="preserve">Rule-Based Fallback System</t>
  </si>
  <si>
    <t xml:space="preserve">MANAGE 2.4</t>
  </si>
  <si>
    <t xml:space="preserve">LLM08 (Excessive Agency)</t>
  </si>
  <si>
    <t xml:space="preserve">A.8.14 (Redundancy)</t>
  </si>
  <si>
    <t xml:space="preserve">CP-10, CP-13</t>
  </si>
  <si>
    <t xml:space="preserve">Vendor AI Risk Assessment</t>
  </si>
  <si>
    <t xml:space="preserve">GOVERN 6.1, 6.2</t>
  </si>
  <si>
    <t xml:space="preserve">LLM05 (Supply Chain)</t>
  </si>
  <si>
    <t xml:space="preserve">A.5.19, A.5.20</t>
  </si>
  <si>
    <t xml:space="preserve">SA-9, SA-12</t>
  </si>
  <si>
    <t xml:space="preserve">SIEM Integration for AI Logs</t>
  </si>
  <si>
    <t xml:space="preserve">MEASURE 2.6</t>
  </si>
  <si>
    <t xml:space="preserve">LLM06</t>
  </si>
  <si>
    <t xml:space="preserve">A.8.15, A.8.16</t>
  </si>
  <si>
    <t xml:space="preserve">SI-4, AU-6</t>
  </si>
  <si>
    <t xml:space="preserve">PIPEDA DPIA for Biometric AI</t>
  </si>
  <si>
    <t xml:space="preserve">MAP 1.6</t>
  </si>
  <si>
    <t xml:space="preserve">A.5.34 (Privacy)</t>
  </si>
  <si>
    <t xml:space="preserve">PT-2, PT-3</t>
  </si>
  <si>
    <t xml:space="preserve">AI Agent Least Privilege</t>
  </si>
  <si>
    <t xml:space="preserve">MAP 5.5</t>
  </si>
  <si>
    <t xml:space="preserve">A.8.2 (Privileged Access)</t>
  </si>
  <si>
    <t xml:space="preserve">AC-6, AC-17</t>
  </si>
  <si>
    <t xml:space="preserve">Model API Rate Limiting</t>
  </si>
  <si>
    <t xml:space="preserve">LLM02 (Insecure Output)</t>
  </si>
  <si>
    <t xml:space="preserve">A.8.20 (Network Security)</t>
  </si>
  <si>
    <t xml:space="preserve">SC-5, AC-17</t>
  </si>
  <si>
    <t xml:space="preserve">Human Review for High-Risk Access</t>
  </si>
  <si>
    <t xml:space="preserve">GOVERN 5.1</t>
  </si>
  <si>
    <t xml:space="preserve">LLM08</t>
  </si>
  <si>
    <t xml:space="preserve">A.8.2, A.5.3</t>
  </si>
  <si>
    <t xml:space="preserve">AC-5, PE-2</t>
  </si>
  <si>
    <t xml:space="preserve">AI Session Token Management</t>
  </si>
  <si>
    <t xml:space="preserve">A.8.5 (Auth)</t>
  </si>
  <si>
    <t xml:space="preserve">AC-12, IA-11</t>
  </si>
  <si>
    <t xml:space="preserve">Adversarial Testing Programme</t>
  </si>
  <si>
    <t xml:space="preserve">MEASURE 2.2</t>
  </si>
  <si>
    <t xml:space="preserve">All LLM Top 10</t>
  </si>
  <si>
    <t xml:space="preserve">A.8.29 (Secure Dev)</t>
  </si>
  <si>
    <t xml:space="preserve">SA-11, RA-5</t>
  </si>
  <si>
    <t xml:space="preserve">Model Drift Monitoring</t>
  </si>
  <si>
    <t xml:space="preserve">MEASURE 2.7</t>
  </si>
  <si>
    <t xml:space="preserve">A.8.16 (Monitoring)</t>
  </si>
  <si>
    <t xml:space="preserve">SI-4, CA-7</t>
  </si>
  <si>
    <t xml:space="preserve">AI IAM Governance Policy</t>
  </si>
  <si>
    <t xml:space="preserve">GOVERN 1.1</t>
  </si>
  <si>
    <t xml:space="preserve">N/A</t>
  </si>
  <si>
    <t xml:space="preserve">A.5.1 (Policies)</t>
  </si>
  <si>
    <t xml:space="preserve">PM-9, PL-1</t>
  </si>
  <si>
    <t xml:space="preserve">Training Data Quality Controls</t>
  </si>
  <si>
    <t xml:space="preserve">MAP 2.3</t>
  </si>
  <si>
    <t xml:space="preserve">LLM03</t>
  </si>
  <si>
    <t xml:space="preserve">A.8.10</t>
  </si>
  <si>
    <t xml:space="preserve">SI-12, SA-8</t>
  </si>
  <si>
    <t xml:space="preserve">False Positive Rate SLA</t>
  </si>
  <si>
    <t xml:space="preserve">MEASURE 2.5</t>
  </si>
  <si>
    <t xml:space="preserve">A.8.16</t>
  </si>
  <si>
    <t xml:space="preserve">PM-16, IR-5</t>
  </si>
  <si>
    <t xml:space="preserve">BCP Update for AI Systems</t>
  </si>
  <si>
    <t xml:space="preserve">A.5.30 (BCP)</t>
  </si>
  <si>
    <t xml:space="preserve">CP-2, CP-4</t>
  </si>
  <si>
    <t xml:space="preserve">AI Security Awareness Training</t>
  </si>
  <si>
    <t xml:space="preserve">GOVERN 4.1</t>
  </si>
  <si>
    <t xml:space="preserve">A.6.3 (Awareness)</t>
  </si>
  <si>
    <t xml:space="preserve">AT-2, AT-3</t>
  </si>
  <si>
    <t xml:space="preserve">SoD for AI Administration</t>
  </si>
  <si>
    <t xml:space="preserve">GOVERN 5.2</t>
  </si>
  <si>
    <t xml:space="preserve">A.5.3 (SoD)</t>
  </si>
  <si>
    <t xml:space="preserve">AC-5, PS-7</t>
  </si>
  <si>
    <t xml:space="preserve">AI API Rate Limiting</t>
  </si>
  <si>
    <t xml:space="preserve">LLM04 (DoS)</t>
  </si>
  <si>
    <t xml:space="preserve">A.8.20</t>
  </si>
  <si>
    <t xml:space="preserve">SC-5</t>
  </si>
  <si>
    <t xml:space="preserve">AI Model Encryption</t>
  </si>
  <si>
    <t xml:space="preserve">LLM02</t>
  </si>
  <si>
    <t xml:space="preserve">A.8.24 (Encryption)</t>
  </si>
  <si>
    <t xml:space="preserve">SC-28, SC-8</t>
  </si>
  <si>
    <t xml:space="preserve">AI Risk Register Maintenance</t>
  </si>
  <si>
    <t xml:space="preserve">GOVERN 1.4</t>
  </si>
  <si>
    <t xml:space="preserve">Clause 6.1</t>
  </si>
  <si>
    <t xml:space="preserve">RA-3, PM-28</t>
  </si>
  <si>
    <t xml:space="preserve">Vendor Data Processing Agreement</t>
  </si>
  <si>
    <t xml:space="preserve">GOVERN 6.1</t>
  </si>
  <si>
    <t xml:space="preserve">A.5.34</t>
  </si>
  <si>
    <t xml:space="preserve">PT-7, SA-9</t>
  </si>
  <si>
    <t xml:space="preserve">REMEDIATION ROADMAP — PRIORITISED ACTION PLAN</t>
  </si>
  <si>
    <t xml:space="preserve">PHASE 1 — IMMEDIATE (Month 1)</t>
  </si>
  <si>
    <t xml:space="preserve">Action</t>
  </si>
  <si>
    <t xml:space="preserve">Owner</t>
  </si>
  <si>
    <t xml:space="preserve">Timeline</t>
  </si>
  <si>
    <t xml:space="preserve">Priority</t>
  </si>
  <si>
    <t xml:space="preserve">Develop AI IAM Incident Response Playbook</t>
  </si>
  <si>
    <t xml:space="preserve">CISO + AI Team</t>
  </si>
  <si>
    <t xml:space="preserve">Month 1</t>
  </si>
  <si>
    <t xml:space="preserve">Draft and approve AI IAM Governance Policy</t>
  </si>
  <si>
    <t xml:space="preserve">Chief Risk Officer</t>
  </si>
  <si>
    <t xml:space="preserve">Implement AI decision logging and audit trail</t>
  </si>
  <si>
    <t xml:space="preserve">AI Engineering</t>
  </si>
  <si>
    <t xml:space="preserve">Deploy prompt injection detection and input validation</t>
  </si>
  <si>
    <t xml:space="preserve">Security Engineering</t>
  </si>
  <si>
    <t xml:space="preserve">Design and test rule-based IAM fallback system</t>
  </si>
  <si>
    <t xml:space="preserve">IAM Team</t>
  </si>
  <si>
    <t xml:space="preserve">PHASE 2 — SHORT TERM (Month 2-3)</t>
  </si>
  <si>
    <t xml:space="preserve">Conduct PIPEDA DPIA for Customer Auth AI</t>
  </si>
  <si>
    <t xml:space="preserve">Privacy Officer</t>
  </si>
  <si>
    <t xml:space="preserve">Month 2</t>
  </si>
  <si>
    <t xml:space="preserve">Issue vendor AI security audit requirement</t>
  </si>
  <si>
    <t xml:space="preserve">Procurement + Risk</t>
  </si>
  <si>
    <t xml:space="preserve">Integrate AI decision logs into Microsoft Sentinel SIEM</t>
  </si>
  <si>
    <t xml:space="preserve">Security Operations</t>
  </si>
  <si>
    <t xml:space="preserve">Implement least-privilege controls for AI Agent identity</t>
  </si>
  <si>
    <t xml:space="preserve">Audit and clean training data — remove privilege creep baselines</t>
  </si>
  <si>
    <t xml:space="preserve">Month 3</t>
  </si>
  <si>
    <t xml:space="preserve">Define access risk tiers and human review workflow</t>
  </si>
  <si>
    <t xml:space="preserve">IAM + Risk Team</t>
  </si>
  <si>
    <t xml:space="preserve">Commission adversarial testing of AI IAM systems</t>
  </si>
  <si>
    <t xml:space="preserve">Security Team</t>
  </si>
  <si>
    <t xml:space="preserve">PHASE 3 — MEDIUM TERM (Month 4-6)</t>
  </si>
  <si>
    <t xml:space="preserve">Implement bias monitoring and fairness metrics</t>
  </si>
  <si>
    <t xml:space="preserve">AI Engineering + HR</t>
  </si>
  <si>
    <t xml:space="preserve">Month 4</t>
  </si>
  <si>
    <t xml:space="preserve">Deploy model drift monitoring and retraining pipeline</t>
  </si>
  <si>
    <t xml:space="preserve">Fix AI agent session token expiry controls</t>
  </si>
  <si>
    <t xml:space="preserve">Implement automated training data purging pipeline</t>
  </si>
  <si>
    <t xml:space="preserve">Data Engineering</t>
  </si>
  <si>
    <t xml:space="preserve">Month 5</t>
  </si>
  <si>
    <t xml:space="preserve">Define and monitor false positive rate SLA</t>
  </si>
  <si>
    <t xml:space="preserve">Update BCP/DRP to include AI IAM systems</t>
  </si>
  <si>
    <t xml:space="preserve">BCM Team</t>
  </si>
  <si>
    <t xml:space="preserve">Implement SoD for AI IAM administration</t>
  </si>
  <si>
    <t xml:space="preserve">HR + Risk</t>
  </si>
  <si>
    <t xml:space="preserve">Month 6</t>
  </si>
  <si>
    <t xml:space="preserve">Establish AI risk register ownership and review cycle</t>
  </si>
  <si>
    <t xml:space="preserve">PHASE 4 — ONGOING</t>
  </si>
  <si>
    <t xml:space="preserve">Monitor model API for probing and rate limit enforcement</t>
  </si>
  <si>
    <t xml:space="preserve">Deliver AI security awareness training to IAM admins</t>
  </si>
  <si>
    <t xml:space="preserve">L&amp;D + Security</t>
  </si>
  <si>
    <t xml:space="preserve">API rate limiting review and tuning</t>
  </si>
  <si>
    <t xml:space="preserve">Low</t>
  </si>
  <si>
    <t xml:space="preserve">Model encryption and access control audit</t>
  </si>
  <si>
    <t xml:space="preserve">Annual vendor data processing agreement review</t>
  </si>
  <si>
    <t xml:space="preserve">Procurement + Privacy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</si>
</sst>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i val="true"/>
      <sz val="13"/>
      <color rgb="FFD6E8F7"/>
      <name val="Arial"/>
      <family val="0"/>
      <charset val="1"/>
    </font>
    <font>
      <b val="true"/>
      <sz val="10"/>
      <color rgb="FF0A387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A38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0A387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A387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61E3C"/>
        <bgColor rgb="FF0A3870"/>
      </patternFill>
    </fill>
    <fill>
      <patternFill patternType="solid">
        <fgColor rgb="FF0A3870"/>
        <bgColor rgb="FF061E3C"/>
      </patternFill>
    </fill>
    <fill>
      <patternFill patternType="solid">
        <fgColor rgb="FFC0392B"/>
        <bgColor rgb="FFD35400"/>
      </patternFill>
    </fill>
    <fill>
      <patternFill patternType="solid">
        <fgColor rgb="FFD6E8F7"/>
        <bgColor rgb="FFD5F5E3"/>
      </patternFill>
    </fill>
    <fill>
      <patternFill patternType="solid">
        <fgColor rgb="FFFFFFFF"/>
        <bgColor rgb="FFFEF9E7"/>
      </patternFill>
    </fill>
    <fill>
      <patternFill patternType="solid">
        <fgColor rgb="FFFADBD8"/>
        <bgColor rgb="FFFAD7A0"/>
      </patternFill>
    </fill>
    <fill>
      <patternFill patternType="solid">
        <fgColor rgb="FFFAD7A0"/>
        <bgColor rgb="FFFADBD8"/>
      </patternFill>
    </fill>
    <fill>
      <patternFill patternType="solid">
        <fgColor rgb="FFFEF9E7"/>
        <bgColor rgb="FFF2F3F4"/>
      </patternFill>
    </fill>
    <fill>
      <patternFill patternType="solid">
        <fgColor rgb="FFD5F5E3"/>
        <bgColor rgb="FFD6E8F7"/>
      </patternFill>
    </fill>
    <fill>
      <patternFill patternType="solid">
        <fgColor rgb="FFF2F3F4"/>
        <bgColor rgb="FFFEF9E7"/>
      </patternFill>
    </fill>
    <fill>
      <patternFill patternType="solid">
        <fgColor rgb="FFD35400"/>
        <bgColor rgb="FFC0392B"/>
      </patternFill>
    </fill>
    <fill>
      <patternFill patternType="solid">
        <fgColor rgb="FFD4AC0D"/>
        <bgColor rgb="FFFFCC00"/>
      </patternFill>
    </fill>
    <fill>
      <patternFill patternType="solid">
        <fgColor rgb="FF1E844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EF9E7"/>
      <rgbColor rgb="FFD6E8F7"/>
      <rgbColor rgb="FF660066"/>
      <rgbColor rgb="FFFF8080"/>
      <rgbColor rgb="FF0066CC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7A0"/>
      <rgbColor rgb="FF3366FF"/>
      <rgbColor rgb="FF33CCCC"/>
      <rgbColor rgb="FF99CC00"/>
      <rgbColor rgb="FFFFCC00"/>
      <rgbColor rgb="FFD4AC0D"/>
      <rgbColor rgb="FFD35400"/>
      <rgbColor rgb="FF555555"/>
      <rgbColor rgb="FF969696"/>
      <rgbColor rgb="FF0A3870"/>
      <rgbColor rgb="FF1E8449"/>
      <rgbColor rgb="FF061E3C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45"/>
    <col collapsed="false" customWidth="true" hidden="false" outlineLevel="0" max="4" min="4" style="1" width="5"/>
  </cols>
  <sheetData>
    <row r="1" customFormat="false" ht="15" hidden="false" customHeight="true" outlineLevel="0" collapsed="false">
      <c r="A1" s="2"/>
      <c r="B1" s="2"/>
      <c r="C1" s="2"/>
      <c r="D1" s="2"/>
    </row>
    <row r="2" customFormat="false" ht="15" hidden="false" customHeight="tru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2"/>
      <c r="B3" s="2"/>
      <c r="C3" s="2"/>
      <c r="D3" s="2"/>
    </row>
    <row r="4" customFormat="false" ht="49.5" hidden="false" customHeight="true" outlineLevel="0" collapsed="false">
      <c r="A4" s="3" t="s">
        <v>0</v>
      </c>
      <c r="B4" s="3"/>
      <c r="C4" s="3"/>
      <c r="D4" s="3"/>
    </row>
    <row r="5" customFormat="false" ht="15" hidden="false" customHeight="true" outlineLevel="0" collapsed="false">
      <c r="A5" s="3"/>
      <c r="B5" s="3"/>
      <c r="C5" s="3"/>
      <c r="D5" s="3"/>
    </row>
    <row r="6" customFormat="false" ht="15" hidden="false" customHeight="true" outlineLevel="0" collapsed="false">
      <c r="A6" s="3"/>
      <c r="B6" s="3"/>
      <c r="C6" s="3"/>
      <c r="D6" s="3"/>
    </row>
    <row r="7" customFormat="false" ht="15" hidden="false" customHeight="true" outlineLevel="0" collapsed="false">
      <c r="A7" s="3"/>
      <c r="B7" s="3"/>
      <c r="C7" s="3"/>
      <c r="D7" s="3"/>
    </row>
    <row r="8" customFormat="false" ht="34.5" hidden="false" customHeight="true" outlineLevel="0" collapsed="false">
      <c r="A8" s="4" t="s">
        <v>1</v>
      </c>
      <c r="B8" s="4"/>
      <c r="C8" s="4"/>
      <c r="D8" s="4"/>
    </row>
    <row r="9" customFormat="false" ht="15" hidden="false" customHeight="true" outlineLevel="0" collapsed="false">
      <c r="A9" s="4"/>
      <c r="B9" s="4"/>
      <c r="C9" s="4"/>
      <c r="D9" s="4"/>
    </row>
    <row r="10" customFormat="false" ht="7.5" hidden="false" customHeight="true" outlineLevel="0" collapsed="false">
      <c r="A10" s="5"/>
      <c r="B10" s="5"/>
      <c r="C10" s="5"/>
      <c r="D10" s="5"/>
    </row>
    <row r="12" customFormat="false" ht="21.75" hidden="false" customHeight="true" outlineLevel="0" collapsed="false">
      <c r="B12" s="6" t="s">
        <v>2</v>
      </c>
      <c r="C12" s="7" t="s">
        <v>3</v>
      </c>
      <c r="D12" s="7"/>
    </row>
    <row r="13" customFormat="false" ht="21.75" hidden="false" customHeight="true" outlineLevel="0" collapsed="false">
      <c r="B13" s="6" t="s">
        <v>4</v>
      </c>
      <c r="C13" s="7" t="s">
        <v>5</v>
      </c>
      <c r="D13" s="7"/>
    </row>
    <row r="14" customFormat="false" ht="21.75" hidden="false" customHeight="true" outlineLevel="0" collapsed="false">
      <c r="B14" s="6" t="s">
        <v>6</v>
      </c>
      <c r="C14" s="7" t="s">
        <v>7</v>
      </c>
      <c r="D14" s="7"/>
    </row>
    <row r="15" customFormat="false" ht="21.75" hidden="false" customHeight="true" outlineLevel="0" collapsed="false">
      <c r="B15" s="6" t="s">
        <v>8</v>
      </c>
      <c r="C15" s="7" t="s">
        <v>9</v>
      </c>
      <c r="D15" s="7"/>
    </row>
    <row r="16" customFormat="false" ht="21.75" hidden="false" customHeight="true" outlineLevel="0" collapsed="false">
      <c r="B16" s="6" t="s">
        <v>10</v>
      </c>
      <c r="C16" s="7" t="s">
        <v>11</v>
      </c>
      <c r="D16" s="7"/>
    </row>
    <row r="17" customFormat="false" ht="21.75" hidden="false" customHeight="true" outlineLevel="0" collapsed="false">
      <c r="B17" s="6" t="s">
        <v>12</v>
      </c>
      <c r="C17" s="7" t="s">
        <v>13</v>
      </c>
      <c r="D17" s="7"/>
    </row>
    <row r="18" customFormat="false" ht="21.75" hidden="false" customHeight="true" outlineLevel="0" collapsed="false">
      <c r="B18" s="6" t="s">
        <v>14</v>
      </c>
      <c r="C18" s="7" t="s">
        <v>15</v>
      </c>
      <c r="D18" s="7"/>
    </row>
    <row r="19" customFormat="false" ht="21.75" hidden="false" customHeight="true" outlineLevel="0" collapsed="false">
      <c r="B19" s="6" t="s">
        <v>16</v>
      </c>
      <c r="C19" s="7" t="s">
        <v>17</v>
      </c>
      <c r="D19" s="7"/>
    </row>
    <row r="20" customFormat="false" ht="21.75" hidden="false" customHeight="true" outlineLevel="0" collapsed="false">
      <c r="B20" s="6" t="s">
        <v>18</v>
      </c>
      <c r="C20" s="7" t="s">
        <v>19</v>
      </c>
      <c r="D20" s="7"/>
    </row>
    <row r="21" customFormat="false" ht="21.75" hidden="false" customHeight="true" outlineLevel="0" collapsed="false">
      <c r="B21" s="6" t="s">
        <v>20</v>
      </c>
      <c r="C21" s="7" t="s">
        <v>21</v>
      </c>
      <c r="D21" s="7"/>
    </row>
    <row r="22" customFormat="false" ht="21.75" hidden="false" customHeight="true" outlineLevel="0" collapsed="false">
      <c r="B22" s="6" t="s">
        <v>22</v>
      </c>
      <c r="C22" s="7" t="s">
        <v>23</v>
      </c>
      <c r="D22" s="7"/>
    </row>
    <row r="24" customFormat="false" ht="18" hidden="false" customHeight="true" outlineLevel="0" collapsed="false">
      <c r="A24" s="8" t="s">
        <v>24</v>
      </c>
      <c r="B24" s="8"/>
      <c r="C24" s="8"/>
      <c r="D24" s="8"/>
    </row>
  </sheetData>
  <mergeCells count="16">
    <mergeCell ref="A1:D3"/>
    <mergeCell ref="A4:D7"/>
    <mergeCell ref="A8:D9"/>
    <mergeCell ref="A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15"/>
    <col collapsed="false" customWidth="true" hidden="false" outlineLevel="0" max="6" min="6" style="1" width="25"/>
    <col collapsed="false" customWidth="true" hidden="false" outlineLevel="0" max="7" min="7" style="1" width="4"/>
  </cols>
  <sheetData>
    <row r="1" customFormat="false" ht="39.75" hidden="false" customHeight="true" outlineLevel="0" collapsed="false">
      <c r="A1" s="9" t="s">
        <v>25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9"/>
      <c r="B2" s="9"/>
      <c r="C2" s="9"/>
      <c r="D2" s="9"/>
      <c r="E2" s="9"/>
      <c r="F2" s="9"/>
      <c r="G2" s="9"/>
    </row>
    <row r="4" customFormat="false" ht="21.75" hidden="false" customHeight="true" outlineLevel="0" collapsed="false">
      <c r="A4" s="10" t="s">
        <v>26</v>
      </c>
      <c r="B4" s="10"/>
      <c r="C4" s="10"/>
      <c r="D4" s="10"/>
      <c r="E4" s="10"/>
      <c r="F4" s="10"/>
      <c r="G4" s="10"/>
    </row>
    <row r="5" customFormat="false" ht="19.5" hidden="false" customHeight="true" outlineLevel="0" collapsed="false"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</row>
    <row r="6" customFormat="false" ht="21.75" hidden="false" customHeight="true" outlineLevel="0" collapsed="false">
      <c r="B6" s="12" t="s">
        <v>32</v>
      </c>
      <c r="C6" s="13" t="n">
        <f aca="false">COUNTIF('Risk Register'!G:G,"Critical")</f>
        <v>0</v>
      </c>
      <c r="D6" s="14" t="n">
        <f aca="false">IFERROR(C6/C10,0)</f>
        <v>0</v>
      </c>
      <c r="E6" s="12" t="s">
        <v>33</v>
      </c>
      <c r="F6" s="12" t="s">
        <v>34</v>
      </c>
    </row>
    <row r="7" customFormat="false" ht="21.75" hidden="false" customHeight="true" outlineLevel="0" collapsed="false">
      <c r="B7" s="15" t="s">
        <v>35</v>
      </c>
      <c r="C7" s="16" t="n">
        <f aca="false">COUNTIF('Risk Register'!G:G,"High")</f>
        <v>0</v>
      </c>
      <c r="D7" s="17" t="n">
        <f aca="false">IFERROR(C7/C10,0)</f>
        <v>0</v>
      </c>
      <c r="E7" s="15" t="s">
        <v>36</v>
      </c>
      <c r="F7" s="15" t="s">
        <v>37</v>
      </c>
    </row>
    <row r="8" customFormat="false" ht="21.75" hidden="false" customHeight="true" outlineLevel="0" collapsed="false">
      <c r="B8" s="18" t="s">
        <v>38</v>
      </c>
      <c r="C8" s="19" t="n">
        <f aca="false">COUNTIF('Risk Register'!G:G,"Medium")</f>
        <v>0</v>
      </c>
      <c r="D8" s="20" t="n">
        <f aca="false">IFERROR(C8/C10,0)</f>
        <v>0</v>
      </c>
      <c r="E8" s="18" t="s">
        <v>39</v>
      </c>
      <c r="F8" s="18" t="s">
        <v>40</v>
      </c>
    </row>
    <row r="9" customFormat="false" ht="21.75" hidden="false" customHeight="true" outlineLevel="0" collapsed="false">
      <c r="B9" s="21" t="s">
        <v>41</v>
      </c>
      <c r="C9" s="22" t="n">
        <f aca="false">COUNTIF('Risk Register'!G:G,"Low")</f>
        <v>0</v>
      </c>
      <c r="D9" s="23" t="n">
        <f aca="false">IFERROR(C9/C10,0)</f>
        <v>0</v>
      </c>
      <c r="E9" s="21" t="s">
        <v>42</v>
      </c>
      <c r="F9" s="21" t="s">
        <v>43</v>
      </c>
    </row>
    <row r="10" customFormat="false" ht="21.75" hidden="false" customHeight="true" outlineLevel="0" collapsed="false">
      <c r="B10" s="24" t="s">
        <v>44</v>
      </c>
      <c r="C10" s="25" t="n">
        <f aca="false">SUM(C6:C9)</f>
        <v>0</v>
      </c>
      <c r="D10" s="25" t="s">
        <v>45</v>
      </c>
      <c r="E10" s="24"/>
      <c r="F10" s="24"/>
    </row>
    <row r="12" customFormat="false" ht="21.75" hidden="false" customHeight="true" outlineLevel="0" collapsed="false">
      <c r="A12" s="10" t="s">
        <v>46</v>
      </c>
      <c r="B12" s="10"/>
      <c r="C12" s="10"/>
      <c r="D12" s="10"/>
      <c r="E12" s="10"/>
      <c r="F12" s="10"/>
      <c r="G12" s="10"/>
    </row>
    <row r="13" customFormat="false" ht="19.5" hidden="false" customHeight="true" outlineLevel="0" collapsed="false">
      <c r="B13" s="11" t="s">
        <v>47</v>
      </c>
      <c r="C13" s="11" t="s">
        <v>48</v>
      </c>
      <c r="D13" s="11"/>
      <c r="E13" s="11" t="s">
        <v>49</v>
      </c>
      <c r="F13" s="11" t="s">
        <v>50</v>
      </c>
    </row>
    <row r="14" customFormat="false" ht="30" hidden="false" customHeight="true" outlineLevel="0" collapsed="false">
      <c r="B14" s="26" t="n">
        <v>1</v>
      </c>
      <c r="C14" s="27" t="s">
        <v>51</v>
      </c>
      <c r="D14" s="27"/>
      <c r="E14" s="28" t="s">
        <v>52</v>
      </c>
      <c r="F14" s="29" t="s">
        <v>53</v>
      </c>
    </row>
    <row r="15" customFormat="false" ht="30" hidden="false" customHeight="true" outlineLevel="0" collapsed="false">
      <c r="B15" s="26" t="n">
        <v>2</v>
      </c>
      <c r="C15" s="27" t="s">
        <v>54</v>
      </c>
      <c r="D15" s="27"/>
      <c r="E15" s="28" t="s">
        <v>52</v>
      </c>
      <c r="F15" s="29" t="s">
        <v>55</v>
      </c>
    </row>
    <row r="16" customFormat="false" ht="30" hidden="false" customHeight="true" outlineLevel="0" collapsed="false">
      <c r="B16" s="26" t="n">
        <v>3</v>
      </c>
      <c r="C16" s="27" t="s">
        <v>56</v>
      </c>
      <c r="D16" s="27"/>
      <c r="E16" s="28" t="s">
        <v>52</v>
      </c>
      <c r="F16" s="29" t="s">
        <v>57</v>
      </c>
    </row>
    <row r="17" customFormat="false" ht="30" hidden="false" customHeight="true" outlineLevel="0" collapsed="false">
      <c r="B17" s="26" t="n">
        <v>4</v>
      </c>
      <c r="C17" s="27" t="s">
        <v>58</v>
      </c>
      <c r="D17" s="27"/>
      <c r="E17" s="28" t="s">
        <v>52</v>
      </c>
      <c r="F17" s="29" t="s">
        <v>59</v>
      </c>
    </row>
    <row r="18" customFormat="false" ht="30" hidden="false" customHeight="true" outlineLevel="0" collapsed="false">
      <c r="B18" s="26" t="n">
        <v>5</v>
      </c>
      <c r="C18" s="27" t="s">
        <v>60</v>
      </c>
      <c r="D18" s="27"/>
      <c r="E18" s="30" t="s">
        <v>61</v>
      </c>
      <c r="F18" s="29" t="s">
        <v>57</v>
      </c>
    </row>
    <row r="19" customFormat="false" ht="30" hidden="false" customHeight="true" outlineLevel="0" collapsed="false">
      <c r="B19" s="26" t="n">
        <v>6</v>
      </c>
      <c r="C19" s="27" t="s">
        <v>62</v>
      </c>
      <c r="D19" s="27"/>
      <c r="E19" s="30" t="s">
        <v>61</v>
      </c>
      <c r="F19" s="29" t="s">
        <v>53</v>
      </c>
    </row>
    <row r="20" customFormat="false" ht="30" hidden="false" customHeight="true" outlineLevel="0" collapsed="false">
      <c r="B20" s="26" t="n">
        <v>7</v>
      </c>
      <c r="C20" s="27" t="s">
        <v>63</v>
      </c>
      <c r="D20" s="27"/>
      <c r="E20" s="30" t="s">
        <v>61</v>
      </c>
      <c r="F20" s="29" t="s">
        <v>59</v>
      </c>
    </row>
    <row r="21" customFormat="false" ht="30" hidden="false" customHeight="true" outlineLevel="0" collapsed="false">
      <c r="B21" s="26" t="n">
        <v>8</v>
      </c>
      <c r="C21" s="27" t="s">
        <v>64</v>
      </c>
      <c r="D21" s="27"/>
      <c r="E21" s="30" t="s">
        <v>61</v>
      </c>
      <c r="F21" s="29" t="s">
        <v>53</v>
      </c>
    </row>
    <row r="22" customFormat="false" ht="30" hidden="false" customHeight="true" outlineLevel="0" collapsed="false">
      <c r="B22" s="26" t="n">
        <v>9</v>
      </c>
      <c r="C22" s="27" t="s">
        <v>65</v>
      </c>
      <c r="D22" s="27"/>
      <c r="E22" s="30" t="s">
        <v>61</v>
      </c>
      <c r="F22" s="29" t="s">
        <v>66</v>
      </c>
    </row>
  </sheetData>
  <mergeCells count="13">
    <mergeCell ref="A1:G2"/>
    <mergeCell ref="A4:G4"/>
    <mergeCell ref="A12:G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6" min="4" style="1" width="25"/>
    <col collapsed="false" customWidth="true" hidden="false" outlineLevel="0" max="7" min="7" style="1" width="4"/>
  </cols>
  <sheetData>
    <row r="1" customFormat="false" ht="39.75" hidden="false" customHeight="true" outlineLevel="0" collapsed="false">
      <c r="A1" s="9" t="s">
        <v>67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9"/>
      <c r="B2" s="9"/>
      <c r="C2" s="9"/>
      <c r="D2" s="9"/>
      <c r="E2" s="9"/>
      <c r="F2" s="9"/>
      <c r="G2" s="9"/>
    </row>
    <row r="4" customFormat="false" ht="15" hidden="false" customHeight="true" outlineLevel="0" collapsed="false">
      <c r="A4" s="31" t="s">
        <v>68</v>
      </c>
      <c r="B4" s="31"/>
      <c r="C4" s="31"/>
      <c r="D4" s="31"/>
      <c r="E4" s="31"/>
      <c r="F4" s="31"/>
      <c r="G4" s="31"/>
    </row>
    <row r="6" customFormat="false" ht="19.5" hidden="false" customHeight="true" outlineLevel="0" collapsed="false">
      <c r="B6" s="11" t="s">
        <v>69</v>
      </c>
      <c r="C6" s="11" t="s">
        <v>70</v>
      </c>
      <c r="D6" s="11" t="s">
        <v>71</v>
      </c>
      <c r="E6" s="11" t="s">
        <v>72</v>
      </c>
      <c r="F6" s="11" t="s">
        <v>73</v>
      </c>
    </row>
    <row r="7" customFormat="false" ht="69.75" hidden="false" customHeight="true" outlineLevel="0" collapsed="false">
      <c r="B7" s="6" t="s">
        <v>53</v>
      </c>
      <c r="C7" s="32" t="s">
        <v>74</v>
      </c>
      <c r="D7" s="32" t="s">
        <v>75</v>
      </c>
      <c r="E7" s="32" t="s">
        <v>76</v>
      </c>
      <c r="F7" s="32" t="s">
        <v>77</v>
      </c>
    </row>
    <row r="8" customFormat="false" ht="69.75" hidden="false" customHeight="true" outlineLevel="0" collapsed="false">
      <c r="B8" s="33" t="s">
        <v>78</v>
      </c>
      <c r="C8" s="32" t="s">
        <v>79</v>
      </c>
      <c r="D8" s="32" t="s">
        <v>80</v>
      </c>
      <c r="E8" s="32" t="s">
        <v>81</v>
      </c>
      <c r="F8" s="32" t="s">
        <v>82</v>
      </c>
    </row>
    <row r="9" customFormat="false" ht="69.75" hidden="false" customHeight="true" outlineLevel="0" collapsed="false">
      <c r="B9" s="34" t="s">
        <v>57</v>
      </c>
      <c r="C9" s="32" t="s">
        <v>83</v>
      </c>
      <c r="D9" s="32" t="s">
        <v>84</v>
      </c>
      <c r="E9" s="32" t="s">
        <v>85</v>
      </c>
      <c r="F9" s="32" t="s">
        <v>86</v>
      </c>
    </row>
    <row r="12" customFormat="false" ht="21.75" hidden="false" customHeight="true" outlineLevel="0" collapsed="false">
      <c r="A12" s="35" t="s">
        <v>87</v>
      </c>
      <c r="B12" s="35"/>
      <c r="C12" s="35"/>
      <c r="D12" s="35"/>
      <c r="E12" s="35"/>
      <c r="F12" s="35"/>
      <c r="G12" s="35"/>
    </row>
    <row r="13" customFormat="false" ht="19.5" hidden="false" customHeight="true" outlineLevel="0" collapsed="false">
      <c r="B13" s="11" t="s">
        <v>71</v>
      </c>
      <c r="C13" s="11" t="s">
        <v>88</v>
      </c>
      <c r="D13" s="11"/>
    </row>
    <row r="14" customFormat="false" ht="34.5" hidden="false" customHeight="true" outlineLevel="0" collapsed="false">
      <c r="B14" s="6" t="s">
        <v>89</v>
      </c>
      <c r="C14" s="27" t="s">
        <v>90</v>
      </c>
      <c r="D14" s="27"/>
    </row>
    <row r="15" customFormat="false" ht="34.5" hidden="false" customHeight="true" outlineLevel="0" collapsed="false">
      <c r="B15" s="6" t="s">
        <v>84</v>
      </c>
      <c r="C15" s="27" t="s">
        <v>91</v>
      </c>
      <c r="D15" s="27"/>
    </row>
    <row r="16" customFormat="false" ht="34.5" hidden="false" customHeight="true" outlineLevel="0" collapsed="false">
      <c r="B16" s="6" t="s">
        <v>92</v>
      </c>
      <c r="C16" s="27" t="s">
        <v>93</v>
      </c>
      <c r="D16" s="27"/>
    </row>
  </sheetData>
  <mergeCells count="7">
    <mergeCell ref="A1:G2"/>
    <mergeCell ref="A4:G4"/>
    <mergeCell ref="A12:G12"/>
    <mergeCell ref="C13:D13"/>
    <mergeCell ref="C14:D14"/>
    <mergeCell ref="C15:D15"/>
    <mergeCell ref="C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5"/>
    <col collapsed="false" customWidth="true" hidden="false" outlineLevel="0" max="5" min="4" style="1" width="20"/>
    <col collapsed="false" customWidth="true" hidden="false" outlineLevel="0" max="7" min="6" style="1" width="8"/>
    <col collapsed="false" customWidth="true" hidden="false" outlineLevel="0" max="8" min="8" style="1" width="12"/>
    <col collapsed="false" customWidth="true" hidden="false" outlineLevel="0" max="9" min="9" style="1" width="35"/>
    <col collapsed="false" customWidth="true" hidden="false" outlineLevel="0" max="10" min="10" style="1" width="30"/>
    <col collapsed="false" customWidth="true" hidden="false" outlineLevel="0" max="11" min="11" style="1" width="4"/>
  </cols>
  <sheetData>
    <row r="1" customFormat="false" ht="39.75" hidden="false" customHeight="true" outlineLevel="0" collapsed="false">
      <c r="A1" s="9" t="s">
        <v>94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34.5" hidden="false" customHeight="true" outlineLevel="0" collapsed="false">
      <c r="B4" s="11" t="s">
        <v>95</v>
      </c>
      <c r="C4" s="11" t="s">
        <v>96</v>
      </c>
      <c r="D4" s="11" t="s">
        <v>69</v>
      </c>
      <c r="E4" s="11" t="s">
        <v>97</v>
      </c>
      <c r="F4" s="11" t="s">
        <v>98</v>
      </c>
      <c r="G4" s="11" t="s">
        <v>99</v>
      </c>
      <c r="H4" s="11" t="s">
        <v>100</v>
      </c>
      <c r="I4" s="11" t="s">
        <v>49</v>
      </c>
      <c r="J4" s="11" t="s">
        <v>101</v>
      </c>
      <c r="K4" s="36" t="s">
        <v>102</v>
      </c>
    </row>
    <row r="5" customFormat="false" ht="54.75" hidden="false" customHeight="true" outlineLevel="0" collapsed="false">
      <c r="B5" s="37" t="s">
        <v>103</v>
      </c>
      <c r="C5" s="32" t="s">
        <v>104</v>
      </c>
      <c r="D5" s="32" t="s">
        <v>53</v>
      </c>
      <c r="E5" s="32" t="s">
        <v>105</v>
      </c>
      <c r="F5" s="38" t="n">
        <v>4</v>
      </c>
      <c r="G5" s="38" t="n">
        <v>5</v>
      </c>
      <c r="H5" s="39" t="n">
        <f aca="false">F5*G5</f>
        <v>20</v>
      </c>
      <c r="I5" s="28" t="s">
        <v>52</v>
      </c>
      <c r="J5" s="32" t="s">
        <v>106</v>
      </c>
      <c r="K5" s="32" t="s">
        <v>107</v>
      </c>
    </row>
    <row r="6" customFormat="false" ht="54.75" hidden="false" customHeight="true" outlineLevel="0" collapsed="false">
      <c r="B6" s="37" t="s">
        <v>108</v>
      </c>
      <c r="C6" s="32" t="s">
        <v>109</v>
      </c>
      <c r="D6" s="32" t="s">
        <v>66</v>
      </c>
      <c r="E6" s="32" t="s">
        <v>110</v>
      </c>
      <c r="F6" s="38" t="n">
        <v>4</v>
      </c>
      <c r="G6" s="38" t="n">
        <v>5</v>
      </c>
      <c r="H6" s="39" t="n">
        <f aca="false">F6*G6</f>
        <v>20</v>
      </c>
      <c r="I6" s="28" t="s">
        <v>52</v>
      </c>
      <c r="J6" s="32" t="s">
        <v>111</v>
      </c>
      <c r="K6" s="32" t="s">
        <v>112</v>
      </c>
    </row>
    <row r="7" customFormat="false" ht="54.75" hidden="false" customHeight="true" outlineLevel="0" collapsed="false">
      <c r="B7" s="37" t="s">
        <v>113</v>
      </c>
      <c r="C7" s="32" t="s">
        <v>114</v>
      </c>
      <c r="D7" s="32" t="s">
        <v>57</v>
      </c>
      <c r="E7" s="32" t="s">
        <v>115</v>
      </c>
      <c r="F7" s="38" t="n">
        <v>4</v>
      </c>
      <c r="G7" s="38" t="n">
        <v>5</v>
      </c>
      <c r="H7" s="39" t="n">
        <f aca="false">F7*G7</f>
        <v>20</v>
      </c>
      <c r="I7" s="28" t="s">
        <v>52</v>
      </c>
      <c r="J7" s="32" t="s">
        <v>116</v>
      </c>
      <c r="K7" s="32" t="s">
        <v>117</v>
      </c>
    </row>
    <row r="8" customFormat="false" ht="54.75" hidden="false" customHeight="true" outlineLevel="0" collapsed="false">
      <c r="B8" s="37" t="s">
        <v>118</v>
      </c>
      <c r="C8" s="32" t="s">
        <v>119</v>
      </c>
      <c r="D8" s="32" t="s">
        <v>59</v>
      </c>
      <c r="E8" s="32" t="s">
        <v>120</v>
      </c>
      <c r="F8" s="38" t="n">
        <v>5</v>
      </c>
      <c r="G8" s="38" t="n">
        <v>5</v>
      </c>
      <c r="H8" s="39" t="n">
        <f aca="false">F8*G8</f>
        <v>25</v>
      </c>
      <c r="I8" s="28" t="s">
        <v>52</v>
      </c>
      <c r="J8" s="32" t="s">
        <v>121</v>
      </c>
      <c r="K8" s="32" t="s">
        <v>122</v>
      </c>
    </row>
    <row r="9" customFormat="false" ht="54.75" hidden="false" customHeight="true" outlineLevel="0" collapsed="false">
      <c r="B9" s="37" t="s">
        <v>123</v>
      </c>
      <c r="C9" s="32" t="s">
        <v>124</v>
      </c>
      <c r="D9" s="32" t="s">
        <v>57</v>
      </c>
      <c r="E9" s="32" t="s">
        <v>125</v>
      </c>
      <c r="F9" s="38" t="n">
        <v>3</v>
      </c>
      <c r="G9" s="38" t="n">
        <v>5</v>
      </c>
      <c r="H9" s="40" t="n">
        <f aca="false">F9*G9</f>
        <v>15</v>
      </c>
      <c r="I9" s="30" t="s">
        <v>61</v>
      </c>
      <c r="J9" s="32" t="s">
        <v>126</v>
      </c>
      <c r="K9" s="32" t="s">
        <v>127</v>
      </c>
    </row>
    <row r="10" customFormat="false" ht="54.75" hidden="false" customHeight="true" outlineLevel="0" collapsed="false">
      <c r="B10" s="37" t="s">
        <v>128</v>
      </c>
      <c r="C10" s="32" t="s">
        <v>129</v>
      </c>
      <c r="D10" s="32" t="s">
        <v>53</v>
      </c>
      <c r="E10" s="32" t="s">
        <v>130</v>
      </c>
      <c r="F10" s="38" t="n">
        <v>3</v>
      </c>
      <c r="G10" s="38" t="n">
        <v>5</v>
      </c>
      <c r="H10" s="40" t="n">
        <f aca="false">F10*G10</f>
        <v>15</v>
      </c>
      <c r="I10" s="30" t="s">
        <v>61</v>
      </c>
      <c r="J10" s="32" t="s">
        <v>131</v>
      </c>
      <c r="K10" s="32" t="s">
        <v>132</v>
      </c>
    </row>
    <row r="11" customFormat="false" ht="54.75" hidden="false" customHeight="true" outlineLevel="0" collapsed="false">
      <c r="B11" s="37" t="s">
        <v>133</v>
      </c>
      <c r="C11" s="32" t="s">
        <v>134</v>
      </c>
      <c r="D11" s="32" t="s">
        <v>59</v>
      </c>
      <c r="E11" s="32" t="s">
        <v>135</v>
      </c>
      <c r="F11" s="38" t="n">
        <v>3</v>
      </c>
      <c r="G11" s="38" t="n">
        <v>5</v>
      </c>
      <c r="H11" s="40" t="n">
        <f aca="false">F11*G11</f>
        <v>15</v>
      </c>
      <c r="I11" s="30" t="s">
        <v>61</v>
      </c>
      <c r="J11" s="32" t="s">
        <v>136</v>
      </c>
      <c r="K11" s="32" t="s">
        <v>137</v>
      </c>
    </row>
    <row r="12" customFormat="false" ht="54.75" hidden="false" customHeight="true" outlineLevel="0" collapsed="false">
      <c r="B12" s="37" t="s">
        <v>138</v>
      </c>
      <c r="C12" s="32" t="s">
        <v>139</v>
      </c>
      <c r="D12" s="32" t="s">
        <v>53</v>
      </c>
      <c r="E12" s="32" t="s">
        <v>140</v>
      </c>
      <c r="F12" s="38" t="n">
        <v>4</v>
      </c>
      <c r="G12" s="38" t="n">
        <v>4</v>
      </c>
      <c r="H12" s="40" t="n">
        <f aca="false">F12*G12</f>
        <v>16</v>
      </c>
      <c r="I12" s="30" t="s">
        <v>61</v>
      </c>
      <c r="J12" s="32" t="s">
        <v>141</v>
      </c>
      <c r="K12" s="32" t="s">
        <v>142</v>
      </c>
    </row>
    <row r="13" customFormat="false" ht="54.75" hidden="false" customHeight="true" outlineLevel="0" collapsed="false">
      <c r="B13" s="37" t="s">
        <v>143</v>
      </c>
      <c r="C13" s="32" t="s">
        <v>144</v>
      </c>
      <c r="D13" s="32" t="s">
        <v>66</v>
      </c>
      <c r="E13" s="32" t="s">
        <v>145</v>
      </c>
      <c r="F13" s="38" t="n">
        <v>4</v>
      </c>
      <c r="G13" s="38" t="n">
        <v>4</v>
      </c>
      <c r="H13" s="40" t="n">
        <f aca="false">F13*G13</f>
        <v>16</v>
      </c>
      <c r="I13" s="30" t="s">
        <v>61</v>
      </c>
      <c r="J13" s="32" t="s">
        <v>146</v>
      </c>
      <c r="K13" s="32" t="s">
        <v>147</v>
      </c>
    </row>
    <row r="14" customFormat="false" ht="54.75" hidden="false" customHeight="true" outlineLevel="0" collapsed="false">
      <c r="B14" s="37" t="s">
        <v>148</v>
      </c>
      <c r="C14" s="32" t="s">
        <v>149</v>
      </c>
      <c r="D14" s="32" t="s">
        <v>53</v>
      </c>
      <c r="E14" s="32" t="s">
        <v>150</v>
      </c>
      <c r="F14" s="38" t="n">
        <v>3</v>
      </c>
      <c r="G14" s="38" t="n">
        <v>5</v>
      </c>
      <c r="H14" s="40" t="n">
        <f aca="false">F14*G14</f>
        <v>15</v>
      </c>
      <c r="I14" s="30" t="s">
        <v>61</v>
      </c>
      <c r="J14" s="32" t="s">
        <v>151</v>
      </c>
      <c r="K14" s="32" t="s">
        <v>152</v>
      </c>
    </row>
    <row r="15" customFormat="false" ht="54.75" hidden="false" customHeight="true" outlineLevel="0" collapsed="false">
      <c r="B15" s="37" t="s">
        <v>153</v>
      </c>
      <c r="C15" s="32" t="s">
        <v>154</v>
      </c>
      <c r="D15" s="32" t="s">
        <v>57</v>
      </c>
      <c r="E15" s="32" t="s">
        <v>155</v>
      </c>
      <c r="F15" s="38" t="n">
        <v>2</v>
      </c>
      <c r="G15" s="38" t="n">
        <v>5</v>
      </c>
      <c r="H15" s="41" t="n">
        <f aca="false">F15*G15</f>
        <v>10</v>
      </c>
      <c r="I15" s="42" t="s">
        <v>156</v>
      </c>
      <c r="J15" s="32" t="s">
        <v>157</v>
      </c>
      <c r="K15" s="32" t="s">
        <v>158</v>
      </c>
    </row>
    <row r="16" customFormat="false" ht="54.75" hidden="false" customHeight="true" outlineLevel="0" collapsed="false">
      <c r="B16" s="37" t="s">
        <v>159</v>
      </c>
      <c r="C16" s="32" t="s">
        <v>160</v>
      </c>
      <c r="D16" s="32" t="s">
        <v>57</v>
      </c>
      <c r="E16" s="32" t="s">
        <v>161</v>
      </c>
      <c r="F16" s="38" t="n">
        <v>4</v>
      </c>
      <c r="G16" s="38" t="n">
        <v>4</v>
      </c>
      <c r="H16" s="40" t="n">
        <f aca="false">F16*G16</f>
        <v>16</v>
      </c>
      <c r="I16" s="30" t="s">
        <v>61</v>
      </c>
      <c r="J16" s="32" t="s">
        <v>162</v>
      </c>
      <c r="K16" s="32" t="s">
        <v>163</v>
      </c>
    </row>
    <row r="17" customFormat="false" ht="54.75" hidden="false" customHeight="true" outlineLevel="0" collapsed="false">
      <c r="B17" s="37" t="s">
        <v>164</v>
      </c>
      <c r="C17" s="32" t="s">
        <v>165</v>
      </c>
      <c r="D17" s="32" t="s">
        <v>53</v>
      </c>
      <c r="E17" s="32" t="s">
        <v>166</v>
      </c>
      <c r="F17" s="38" t="n">
        <v>3</v>
      </c>
      <c r="G17" s="38" t="n">
        <v>4</v>
      </c>
      <c r="H17" s="40" t="n">
        <f aca="false">F17*G17</f>
        <v>12</v>
      </c>
      <c r="I17" s="30" t="s">
        <v>61</v>
      </c>
      <c r="J17" s="32" t="s">
        <v>167</v>
      </c>
      <c r="K17" s="32" t="s">
        <v>168</v>
      </c>
    </row>
    <row r="18" customFormat="false" ht="54.75" hidden="false" customHeight="true" outlineLevel="0" collapsed="false">
      <c r="B18" s="37" t="s">
        <v>169</v>
      </c>
      <c r="C18" s="32" t="s">
        <v>170</v>
      </c>
      <c r="D18" s="32" t="s">
        <v>59</v>
      </c>
      <c r="E18" s="32" t="s">
        <v>171</v>
      </c>
      <c r="F18" s="38" t="n">
        <v>4</v>
      </c>
      <c r="G18" s="38" t="n">
        <v>4</v>
      </c>
      <c r="H18" s="40" t="n">
        <f aca="false">F18*G18</f>
        <v>16</v>
      </c>
      <c r="I18" s="30" t="s">
        <v>61</v>
      </c>
      <c r="J18" s="32" t="s">
        <v>172</v>
      </c>
      <c r="K18" s="32" t="s">
        <v>173</v>
      </c>
    </row>
    <row r="19" customFormat="false" ht="54.75" hidden="false" customHeight="true" outlineLevel="0" collapsed="false">
      <c r="B19" s="37" t="s">
        <v>174</v>
      </c>
      <c r="C19" s="32" t="s">
        <v>175</v>
      </c>
      <c r="D19" s="32" t="s">
        <v>53</v>
      </c>
      <c r="E19" s="32" t="s">
        <v>176</v>
      </c>
      <c r="F19" s="38" t="n">
        <v>3</v>
      </c>
      <c r="G19" s="38" t="n">
        <v>4</v>
      </c>
      <c r="H19" s="40" t="n">
        <f aca="false">F19*G19</f>
        <v>12</v>
      </c>
      <c r="I19" s="30" t="s">
        <v>61</v>
      </c>
      <c r="J19" s="32" t="s">
        <v>177</v>
      </c>
      <c r="K19" s="32" t="s">
        <v>178</v>
      </c>
    </row>
    <row r="20" customFormat="false" ht="54.75" hidden="false" customHeight="true" outlineLevel="0" collapsed="false">
      <c r="B20" s="37" t="s">
        <v>179</v>
      </c>
      <c r="C20" s="32" t="s">
        <v>180</v>
      </c>
      <c r="D20" s="32" t="s">
        <v>59</v>
      </c>
      <c r="E20" s="32" t="s">
        <v>181</v>
      </c>
      <c r="F20" s="38" t="n">
        <v>5</v>
      </c>
      <c r="G20" s="38" t="n">
        <v>3</v>
      </c>
      <c r="H20" s="40" t="n">
        <f aca="false">F20*G20</f>
        <v>15</v>
      </c>
      <c r="I20" s="30" t="s">
        <v>61</v>
      </c>
      <c r="J20" s="32" t="s">
        <v>182</v>
      </c>
      <c r="K20" s="32" t="s">
        <v>183</v>
      </c>
    </row>
    <row r="21" customFormat="false" ht="54.75" hidden="false" customHeight="true" outlineLevel="0" collapsed="false">
      <c r="B21" s="37" t="s">
        <v>184</v>
      </c>
      <c r="C21" s="32" t="s">
        <v>185</v>
      </c>
      <c r="D21" s="32" t="s">
        <v>57</v>
      </c>
      <c r="E21" s="32" t="s">
        <v>186</v>
      </c>
      <c r="F21" s="38" t="n">
        <v>4</v>
      </c>
      <c r="G21" s="38" t="n">
        <v>3</v>
      </c>
      <c r="H21" s="40" t="n">
        <f aca="false">F21*G21</f>
        <v>12</v>
      </c>
      <c r="I21" s="30" t="s">
        <v>61</v>
      </c>
      <c r="J21" s="32" t="s">
        <v>187</v>
      </c>
      <c r="K21" s="32" t="s">
        <v>188</v>
      </c>
    </row>
    <row r="22" customFormat="false" ht="54.75" hidden="false" customHeight="true" outlineLevel="0" collapsed="false">
      <c r="B22" s="37" t="s">
        <v>189</v>
      </c>
      <c r="C22" s="32" t="s">
        <v>190</v>
      </c>
      <c r="D22" s="32" t="s">
        <v>66</v>
      </c>
      <c r="E22" s="32" t="s">
        <v>191</v>
      </c>
      <c r="F22" s="38" t="n">
        <v>3</v>
      </c>
      <c r="G22" s="38" t="n">
        <v>4</v>
      </c>
      <c r="H22" s="40" t="n">
        <f aca="false">F22*G22</f>
        <v>12</v>
      </c>
      <c r="I22" s="30" t="s">
        <v>61</v>
      </c>
      <c r="J22" s="32" t="s">
        <v>192</v>
      </c>
      <c r="K22" s="32" t="s">
        <v>193</v>
      </c>
    </row>
    <row r="23" customFormat="false" ht="54.75" hidden="false" customHeight="true" outlineLevel="0" collapsed="false">
      <c r="B23" s="37" t="s">
        <v>194</v>
      </c>
      <c r="C23" s="32" t="s">
        <v>195</v>
      </c>
      <c r="D23" s="32" t="s">
        <v>59</v>
      </c>
      <c r="E23" s="32" t="s">
        <v>196</v>
      </c>
      <c r="F23" s="38" t="n">
        <v>3</v>
      </c>
      <c r="G23" s="38" t="n">
        <v>4</v>
      </c>
      <c r="H23" s="40" t="n">
        <f aca="false">F23*G23</f>
        <v>12</v>
      </c>
      <c r="I23" s="30" t="s">
        <v>61</v>
      </c>
      <c r="J23" s="32" t="s">
        <v>197</v>
      </c>
      <c r="K23" s="32" t="s">
        <v>198</v>
      </c>
    </row>
    <row r="24" customFormat="false" ht="54.75" hidden="false" customHeight="true" outlineLevel="0" collapsed="false">
      <c r="B24" s="37" t="s">
        <v>199</v>
      </c>
      <c r="C24" s="32" t="s">
        <v>200</v>
      </c>
      <c r="D24" s="32" t="s">
        <v>59</v>
      </c>
      <c r="E24" s="32" t="s">
        <v>201</v>
      </c>
      <c r="F24" s="38" t="n">
        <v>4</v>
      </c>
      <c r="G24" s="38" t="n">
        <v>3</v>
      </c>
      <c r="H24" s="40" t="n">
        <f aca="false">F24*G24</f>
        <v>12</v>
      </c>
      <c r="I24" s="30" t="s">
        <v>61</v>
      </c>
      <c r="J24" s="32" t="s">
        <v>202</v>
      </c>
      <c r="K24" s="32" t="s">
        <v>203</v>
      </c>
    </row>
    <row r="25" customFormat="false" ht="54.75" hidden="false" customHeight="true" outlineLevel="0" collapsed="false">
      <c r="B25" s="37" t="s">
        <v>204</v>
      </c>
      <c r="C25" s="32" t="s">
        <v>205</v>
      </c>
      <c r="D25" s="32" t="s">
        <v>59</v>
      </c>
      <c r="E25" s="32" t="s">
        <v>206</v>
      </c>
      <c r="F25" s="38" t="n">
        <v>3</v>
      </c>
      <c r="G25" s="38" t="n">
        <v>4</v>
      </c>
      <c r="H25" s="40" t="n">
        <f aca="false">F25*G25</f>
        <v>12</v>
      </c>
      <c r="I25" s="30" t="s">
        <v>61</v>
      </c>
      <c r="J25" s="32" t="s">
        <v>207</v>
      </c>
      <c r="K25" s="32" t="s">
        <v>208</v>
      </c>
    </row>
    <row r="26" customFormat="false" ht="54.75" hidden="false" customHeight="true" outlineLevel="0" collapsed="false">
      <c r="B26" s="37" t="s">
        <v>209</v>
      </c>
      <c r="C26" s="32" t="s">
        <v>210</v>
      </c>
      <c r="D26" s="32" t="s">
        <v>53</v>
      </c>
      <c r="E26" s="32" t="s">
        <v>211</v>
      </c>
      <c r="F26" s="38" t="n">
        <v>3</v>
      </c>
      <c r="G26" s="38" t="n">
        <v>3</v>
      </c>
      <c r="H26" s="41" t="n">
        <f aca="false">F26*G26</f>
        <v>9</v>
      </c>
      <c r="I26" s="42" t="s">
        <v>156</v>
      </c>
      <c r="J26" s="32" t="s">
        <v>212</v>
      </c>
      <c r="K26" s="32" t="s">
        <v>213</v>
      </c>
    </row>
    <row r="27" customFormat="false" ht="54.75" hidden="false" customHeight="true" outlineLevel="0" collapsed="false">
      <c r="B27" s="37" t="s">
        <v>214</v>
      </c>
      <c r="C27" s="32" t="s">
        <v>215</v>
      </c>
      <c r="D27" s="32" t="s">
        <v>59</v>
      </c>
      <c r="E27" s="32" t="s">
        <v>216</v>
      </c>
      <c r="F27" s="38" t="n">
        <v>2</v>
      </c>
      <c r="G27" s="38" t="n">
        <v>4</v>
      </c>
      <c r="H27" s="41" t="n">
        <f aca="false">F27*G27</f>
        <v>8</v>
      </c>
      <c r="I27" s="42" t="s">
        <v>156</v>
      </c>
      <c r="J27" s="32" t="s">
        <v>217</v>
      </c>
      <c r="K27" s="32" t="s">
        <v>218</v>
      </c>
    </row>
    <row r="28" customFormat="false" ht="54.75" hidden="false" customHeight="true" outlineLevel="0" collapsed="false">
      <c r="B28" s="37" t="s">
        <v>219</v>
      </c>
      <c r="C28" s="32" t="s">
        <v>220</v>
      </c>
      <c r="D28" s="32" t="s">
        <v>59</v>
      </c>
      <c r="E28" s="32" t="s">
        <v>221</v>
      </c>
      <c r="F28" s="38" t="n">
        <v>5</v>
      </c>
      <c r="G28" s="38" t="n">
        <v>3</v>
      </c>
      <c r="H28" s="40" t="n">
        <f aca="false">F28*G28</f>
        <v>15</v>
      </c>
      <c r="I28" s="30" t="s">
        <v>61</v>
      </c>
      <c r="J28" s="32" t="s">
        <v>222</v>
      </c>
      <c r="K28" s="32" t="s">
        <v>223</v>
      </c>
    </row>
    <row r="29" customFormat="false" ht="54.75" hidden="false" customHeight="true" outlineLevel="0" collapsed="false">
      <c r="B29" s="37" t="s">
        <v>224</v>
      </c>
      <c r="C29" s="32" t="s">
        <v>225</v>
      </c>
      <c r="D29" s="32" t="s">
        <v>66</v>
      </c>
      <c r="E29" s="32" t="s">
        <v>226</v>
      </c>
      <c r="F29" s="38" t="n">
        <v>3</v>
      </c>
      <c r="G29" s="38" t="n">
        <v>4</v>
      </c>
      <c r="H29" s="40" t="n">
        <f aca="false">F29*G29</f>
        <v>12</v>
      </c>
      <c r="I29" s="30" t="s">
        <v>61</v>
      </c>
      <c r="J29" s="32" t="s">
        <v>227</v>
      </c>
      <c r="K29" s="32" t="s">
        <v>228</v>
      </c>
    </row>
  </sheetData>
  <mergeCells count="1">
    <mergeCell ref="A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7" min="4" style="1" width="20"/>
    <col collapsed="false" customWidth="true" hidden="false" outlineLevel="0" max="8" min="8" style="1" width="4"/>
  </cols>
  <sheetData>
    <row r="1" customFormat="false" ht="39.75" hidden="false" customHeight="true" outlineLevel="0" collapsed="false">
      <c r="A1" s="9" t="s">
        <v>229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9"/>
      <c r="B2" s="9"/>
      <c r="C2" s="9"/>
      <c r="D2" s="9"/>
      <c r="E2" s="9"/>
      <c r="F2" s="9"/>
      <c r="G2" s="9"/>
      <c r="H2" s="9"/>
    </row>
    <row r="4" customFormat="false" ht="19.5" hidden="false" customHeight="true" outlineLevel="0" collapsed="false">
      <c r="B4" s="11" t="s">
        <v>230</v>
      </c>
      <c r="C4" s="11" t="s">
        <v>231</v>
      </c>
      <c r="D4" s="11" t="s">
        <v>232</v>
      </c>
      <c r="E4" s="11" t="s">
        <v>233</v>
      </c>
      <c r="F4" s="11" t="s">
        <v>234</v>
      </c>
      <c r="G4" s="11" t="s">
        <v>235</v>
      </c>
    </row>
    <row r="5" customFormat="false" ht="30" hidden="false" customHeight="true" outlineLevel="0" collapsed="false">
      <c r="B5" s="43" t="s">
        <v>103</v>
      </c>
      <c r="C5" s="44" t="s">
        <v>236</v>
      </c>
      <c r="D5" s="44" t="s">
        <v>237</v>
      </c>
      <c r="E5" s="44" t="s">
        <v>238</v>
      </c>
      <c r="F5" s="44" t="s">
        <v>239</v>
      </c>
      <c r="G5" s="44" t="s">
        <v>240</v>
      </c>
    </row>
    <row r="6" customFormat="false" ht="30" hidden="false" customHeight="true" outlineLevel="0" collapsed="false">
      <c r="B6" s="43" t="s">
        <v>108</v>
      </c>
      <c r="C6" s="32" t="s">
        <v>241</v>
      </c>
      <c r="D6" s="32" t="s">
        <v>242</v>
      </c>
      <c r="E6" s="32" t="s">
        <v>243</v>
      </c>
      <c r="F6" s="32" t="s">
        <v>244</v>
      </c>
      <c r="G6" s="32" t="s">
        <v>245</v>
      </c>
    </row>
    <row r="7" customFormat="false" ht="30" hidden="false" customHeight="true" outlineLevel="0" collapsed="false">
      <c r="B7" s="43" t="s">
        <v>113</v>
      </c>
      <c r="C7" s="44" t="s">
        <v>246</v>
      </c>
      <c r="D7" s="44" t="s">
        <v>247</v>
      </c>
      <c r="E7" s="44" t="s">
        <v>248</v>
      </c>
      <c r="F7" s="44" t="s">
        <v>249</v>
      </c>
      <c r="G7" s="44" t="s">
        <v>250</v>
      </c>
    </row>
    <row r="8" customFormat="false" ht="30" hidden="false" customHeight="true" outlineLevel="0" collapsed="false">
      <c r="B8" s="43" t="s">
        <v>118</v>
      </c>
      <c r="C8" s="32" t="s">
        <v>251</v>
      </c>
      <c r="D8" s="32" t="s">
        <v>252</v>
      </c>
      <c r="E8" s="32" t="s">
        <v>253</v>
      </c>
      <c r="F8" s="32" t="s">
        <v>254</v>
      </c>
      <c r="G8" s="32" t="s">
        <v>255</v>
      </c>
    </row>
    <row r="9" customFormat="false" ht="30" hidden="false" customHeight="true" outlineLevel="0" collapsed="false">
      <c r="B9" s="43" t="s">
        <v>123</v>
      </c>
      <c r="C9" s="44" t="s">
        <v>256</v>
      </c>
      <c r="D9" s="44" t="s">
        <v>257</v>
      </c>
      <c r="E9" s="44" t="s">
        <v>258</v>
      </c>
      <c r="F9" s="44" t="s">
        <v>259</v>
      </c>
      <c r="G9" s="44" t="s">
        <v>260</v>
      </c>
    </row>
    <row r="10" customFormat="false" ht="30" hidden="false" customHeight="true" outlineLevel="0" collapsed="false">
      <c r="B10" s="43" t="s">
        <v>128</v>
      </c>
      <c r="C10" s="32" t="s">
        <v>261</v>
      </c>
      <c r="D10" s="32" t="s">
        <v>262</v>
      </c>
      <c r="E10" s="32" t="s">
        <v>263</v>
      </c>
      <c r="F10" s="32" t="s">
        <v>264</v>
      </c>
      <c r="G10" s="32" t="s">
        <v>265</v>
      </c>
    </row>
    <row r="11" customFormat="false" ht="30" hidden="false" customHeight="true" outlineLevel="0" collapsed="false">
      <c r="B11" s="43" t="s">
        <v>133</v>
      </c>
      <c r="C11" s="44" t="s">
        <v>266</v>
      </c>
      <c r="D11" s="44" t="s">
        <v>267</v>
      </c>
      <c r="E11" s="44" t="s">
        <v>268</v>
      </c>
      <c r="F11" s="44" t="s">
        <v>269</v>
      </c>
      <c r="G11" s="44" t="s">
        <v>270</v>
      </c>
    </row>
    <row r="12" customFormat="false" ht="30" hidden="false" customHeight="true" outlineLevel="0" collapsed="false">
      <c r="B12" s="43" t="s">
        <v>138</v>
      </c>
      <c r="C12" s="32" t="s">
        <v>271</v>
      </c>
      <c r="D12" s="32" t="s">
        <v>272</v>
      </c>
      <c r="E12" s="32" t="s">
        <v>273</v>
      </c>
      <c r="F12" s="32" t="s">
        <v>274</v>
      </c>
      <c r="G12" s="32" t="s">
        <v>275</v>
      </c>
    </row>
    <row r="13" customFormat="false" ht="30" hidden="false" customHeight="true" outlineLevel="0" collapsed="false">
      <c r="B13" s="43" t="s">
        <v>143</v>
      </c>
      <c r="C13" s="44" t="s">
        <v>276</v>
      </c>
      <c r="D13" s="44" t="s">
        <v>277</v>
      </c>
      <c r="E13" s="44" t="s">
        <v>273</v>
      </c>
      <c r="F13" s="44" t="s">
        <v>278</v>
      </c>
      <c r="G13" s="44" t="s">
        <v>279</v>
      </c>
    </row>
    <row r="14" customFormat="false" ht="30" hidden="false" customHeight="true" outlineLevel="0" collapsed="false">
      <c r="B14" s="43" t="s">
        <v>148</v>
      </c>
      <c r="C14" s="32" t="s">
        <v>280</v>
      </c>
      <c r="D14" s="32" t="s">
        <v>281</v>
      </c>
      <c r="E14" s="32" t="s">
        <v>263</v>
      </c>
      <c r="F14" s="32" t="s">
        <v>282</v>
      </c>
      <c r="G14" s="32" t="s">
        <v>283</v>
      </c>
    </row>
    <row r="15" customFormat="false" ht="30" hidden="false" customHeight="true" outlineLevel="0" collapsed="false">
      <c r="B15" s="43" t="s">
        <v>153</v>
      </c>
      <c r="C15" s="44" t="s">
        <v>284</v>
      </c>
      <c r="D15" s="44" t="s">
        <v>242</v>
      </c>
      <c r="E15" s="44" t="s">
        <v>285</v>
      </c>
      <c r="F15" s="44" t="s">
        <v>286</v>
      </c>
      <c r="G15" s="44" t="s">
        <v>287</v>
      </c>
    </row>
    <row r="16" customFormat="false" ht="30" hidden="false" customHeight="true" outlineLevel="0" collapsed="false">
      <c r="B16" s="43" t="s">
        <v>159</v>
      </c>
      <c r="C16" s="32" t="s">
        <v>288</v>
      </c>
      <c r="D16" s="32" t="s">
        <v>289</v>
      </c>
      <c r="E16" s="32" t="s">
        <v>290</v>
      </c>
      <c r="F16" s="32" t="s">
        <v>291</v>
      </c>
      <c r="G16" s="32" t="s">
        <v>292</v>
      </c>
    </row>
    <row r="17" customFormat="false" ht="30" hidden="false" customHeight="true" outlineLevel="0" collapsed="false">
      <c r="B17" s="43" t="s">
        <v>164</v>
      </c>
      <c r="C17" s="44" t="s">
        <v>293</v>
      </c>
      <c r="D17" s="44" t="s">
        <v>262</v>
      </c>
      <c r="E17" s="44" t="s">
        <v>290</v>
      </c>
      <c r="F17" s="44" t="s">
        <v>294</v>
      </c>
      <c r="G17" s="44" t="s">
        <v>295</v>
      </c>
    </row>
    <row r="18" customFormat="false" ht="30" hidden="false" customHeight="true" outlineLevel="0" collapsed="false">
      <c r="B18" s="43" t="s">
        <v>169</v>
      </c>
      <c r="C18" s="32" t="s">
        <v>296</v>
      </c>
      <c r="D18" s="32" t="s">
        <v>297</v>
      </c>
      <c r="E18" s="32" t="s">
        <v>298</v>
      </c>
      <c r="F18" s="32" t="s">
        <v>299</v>
      </c>
      <c r="G18" s="32" t="s">
        <v>300</v>
      </c>
    </row>
    <row r="19" customFormat="false" ht="30" hidden="false" customHeight="true" outlineLevel="0" collapsed="false">
      <c r="B19" s="43" t="s">
        <v>174</v>
      </c>
      <c r="C19" s="44" t="s">
        <v>301</v>
      </c>
      <c r="D19" s="44" t="s">
        <v>302</v>
      </c>
      <c r="E19" s="44" t="s">
        <v>258</v>
      </c>
      <c r="F19" s="44" t="s">
        <v>303</v>
      </c>
      <c r="G19" s="44" t="s">
        <v>304</v>
      </c>
    </row>
    <row r="20" customFormat="false" ht="30" hidden="false" customHeight="true" outlineLevel="0" collapsed="false">
      <c r="B20" s="43" t="s">
        <v>179</v>
      </c>
      <c r="C20" s="32" t="s">
        <v>305</v>
      </c>
      <c r="D20" s="32" t="s">
        <v>306</v>
      </c>
      <c r="E20" s="32" t="s">
        <v>307</v>
      </c>
      <c r="F20" s="32" t="s">
        <v>308</v>
      </c>
      <c r="G20" s="32" t="s">
        <v>309</v>
      </c>
    </row>
    <row r="21" customFormat="false" ht="30" hidden="false" customHeight="true" outlineLevel="0" collapsed="false">
      <c r="B21" s="43" t="s">
        <v>184</v>
      </c>
      <c r="C21" s="44" t="s">
        <v>310</v>
      </c>
      <c r="D21" s="44" t="s">
        <v>311</v>
      </c>
      <c r="E21" s="44" t="s">
        <v>312</v>
      </c>
      <c r="F21" s="44" t="s">
        <v>313</v>
      </c>
      <c r="G21" s="44" t="s">
        <v>314</v>
      </c>
    </row>
    <row r="22" customFormat="false" ht="30" hidden="false" customHeight="true" outlineLevel="0" collapsed="false">
      <c r="B22" s="43" t="s">
        <v>189</v>
      </c>
      <c r="C22" s="32" t="s">
        <v>315</v>
      </c>
      <c r="D22" s="32" t="s">
        <v>316</v>
      </c>
      <c r="E22" s="32" t="s">
        <v>258</v>
      </c>
      <c r="F22" s="32" t="s">
        <v>317</v>
      </c>
      <c r="G22" s="32" t="s">
        <v>318</v>
      </c>
    </row>
    <row r="23" customFormat="false" ht="30" hidden="false" customHeight="true" outlineLevel="0" collapsed="false">
      <c r="B23" s="43" t="s">
        <v>194</v>
      </c>
      <c r="C23" s="44" t="s">
        <v>319</v>
      </c>
      <c r="D23" s="44" t="s">
        <v>262</v>
      </c>
      <c r="E23" s="44" t="s">
        <v>307</v>
      </c>
      <c r="F23" s="44" t="s">
        <v>320</v>
      </c>
      <c r="G23" s="44" t="s">
        <v>321</v>
      </c>
    </row>
    <row r="24" customFormat="false" ht="30" hidden="false" customHeight="true" outlineLevel="0" collapsed="false">
      <c r="B24" s="43" t="s">
        <v>199</v>
      </c>
      <c r="C24" s="32" t="s">
        <v>322</v>
      </c>
      <c r="D24" s="32" t="s">
        <v>323</v>
      </c>
      <c r="E24" s="32" t="s">
        <v>307</v>
      </c>
      <c r="F24" s="32" t="s">
        <v>324</v>
      </c>
      <c r="G24" s="32" t="s">
        <v>325</v>
      </c>
    </row>
    <row r="25" customFormat="false" ht="30" hidden="false" customHeight="true" outlineLevel="0" collapsed="false">
      <c r="B25" s="43" t="s">
        <v>204</v>
      </c>
      <c r="C25" s="44" t="s">
        <v>326</v>
      </c>
      <c r="D25" s="44" t="s">
        <v>327</v>
      </c>
      <c r="E25" s="44" t="s">
        <v>307</v>
      </c>
      <c r="F25" s="44" t="s">
        <v>328</v>
      </c>
      <c r="G25" s="44" t="s">
        <v>329</v>
      </c>
    </row>
    <row r="26" customFormat="false" ht="30" hidden="false" customHeight="true" outlineLevel="0" collapsed="false">
      <c r="B26" s="43" t="s">
        <v>209</v>
      </c>
      <c r="C26" s="32" t="s">
        <v>330</v>
      </c>
      <c r="D26" s="32" t="s">
        <v>242</v>
      </c>
      <c r="E26" s="32" t="s">
        <v>331</v>
      </c>
      <c r="F26" s="32" t="s">
        <v>332</v>
      </c>
      <c r="G26" s="32" t="s">
        <v>333</v>
      </c>
    </row>
    <row r="27" customFormat="false" ht="30" hidden="false" customHeight="true" outlineLevel="0" collapsed="false">
      <c r="B27" s="43" t="s">
        <v>214</v>
      </c>
      <c r="C27" s="44" t="s">
        <v>334</v>
      </c>
      <c r="D27" s="44" t="s">
        <v>262</v>
      </c>
      <c r="E27" s="44" t="s">
        <v>335</v>
      </c>
      <c r="F27" s="44" t="s">
        <v>336</v>
      </c>
      <c r="G27" s="44" t="s">
        <v>337</v>
      </c>
    </row>
    <row r="28" customFormat="false" ht="30" hidden="false" customHeight="true" outlineLevel="0" collapsed="false">
      <c r="B28" s="43" t="s">
        <v>219</v>
      </c>
      <c r="C28" s="32" t="s">
        <v>338</v>
      </c>
      <c r="D28" s="32" t="s">
        <v>339</v>
      </c>
      <c r="E28" s="32" t="s">
        <v>307</v>
      </c>
      <c r="F28" s="32" t="s">
        <v>340</v>
      </c>
      <c r="G28" s="32" t="s">
        <v>341</v>
      </c>
    </row>
    <row r="29" customFormat="false" ht="30" hidden="false" customHeight="true" outlineLevel="0" collapsed="false">
      <c r="B29" s="43" t="s">
        <v>224</v>
      </c>
      <c r="C29" s="44" t="s">
        <v>342</v>
      </c>
      <c r="D29" s="44" t="s">
        <v>343</v>
      </c>
      <c r="E29" s="44" t="s">
        <v>273</v>
      </c>
      <c r="F29" s="44" t="s">
        <v>344</v>
      </c>
      <c r="G29" s="44" t="s">
        <v>345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6" min="5" style="1" width="15"/>
    <col collapsed="false" customWidth="true" hidden="false" outlineLevel="0" max="7" min="7" style="1" width="20"/>
    <col collapsed="false" customWidth="true" hidden="false" outlineLevel="0" max="8" min="8" style="1" width="4"/>
  </cols>
  <sheetData>
    <row r="1" customFormat="false" ht="39.75" hidden="false" customHeight="true" outlineLevel="0" collapsed="false">
      <c r="A1" s="9" t="s">
        <v>346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9"/>
      <c r="B2" s="9"/>
      <c r="C2" s="9"/>
      <c r="D2" s="9"/>
      <c r="E2" s="9"/>
      <c r="F2" s="9"/>
      <c r="G2" s="9"/>
      <c r="H2" s="9"/>
    </row>
    <row r="4" customFormat="false" ht="24.75" hidden="false" customHeight="true" outlineLevel="0" collapsed="false">
      <c r="A4" s="45" t="s">
        <v>347</v>
      </c>
      <c r="B4" s="45"/>
      <c r="C4" s="45"/>
      <c r="D4" s="45"/>
      <c r="E4" s="45"/>
      <c r="F4" s="45"/>
      <c r="G4" s="45"/>
      <c r="H4" s="45"/>
    </row>
    <row r="5" customFormat="false" ht="18" hidden="false" customHeight="true" outlineLevel="0" collapsed="false">
      <c r="B5" s="46" t="s">
        <v>230</v>
      </c>
      <c r="C5" s="46" t="s">
        <v>348</v>
      </c>
      <c r="D5" s="46" t="s">
        <v>349</v>
      </c>
      <c r="E5" s="46" t="s">
        <v>350</v>
      </c>
      <c r="F5" s="46" t="s">
        <v>351</v>
      </c>
      <c r="G5" s="46"/>
    </row>
    <row r="6" customFormat="false" ht="30" hidden="false" customHeight="true" outlineLevel="0" collapsed="false">
      <c r="B6" s="47" t="s">
        <v>118</v>
      </c>
      <c r="C6" s="32" t="s">
        <v>352</v>
      </c>
      <c r="D6" s="32" t="s">
        <v>353</v>
      </c>
      <c r="E6" s="32" t="s">
        <v>354</v>
      </c>
      <c r="F6" s="48" t="s">
        <v>52</v>
      </c>
    </row>
    <row r="7" customFormat="false" ht="30" hidden="false" customHeight="true" outlineLevel="0" collapsed="false">
      <c r="B7" s="47" t="s">
        <v>179</v>
      </c>
      <c r="C7" s="32" t="s">
        <v>355</v>
      </c>
      <c r="D7" s="32" t="s">
        <v>356</v>
      </c>
      <c r="E7" s="32" t="s">
        <v>354</v>
      </c>
      <c r="F7" s="48" t="s">
        <v>52</v>
      </c>
    </row>
    <row r="8" customFormat="false" ht="30" hidden="false" customHeight="true" outlineLevel="0" collapsed="false">
      <c r="B8" s="47" t="s">
        <v>103</v>
      </c>
      <c r="C8" s="32" t="s">
        <v>357</v>
      </c>
      <c r="D8" s="32" t="s">
        <v>358</v>
      </c>
      <c r="E8" s="32" t="s">
        <v>354</v>
      </c>
      <c r="F8" s="48" t="s">
        <v>52</v>
      </c>
    </row>
    <row r="9" customFormat="false" ht="30" hidden="false" customHeight="true" outlineLevel="0" collapsed="false">
      <c r="B9" s="47" t="s">
        <v>108</v>
      </c>
      <c r="C9" s="32" t="s">
        <v>359</v>
      </c>
      <c r="D9" s="32" t="s">
        <v>360</v>
      </c>
      <c r="E9" s="32" t="s">
        <v>354</v>
      </c>
      <c r="F9" s="48" t="s">
        <v>52</v>
      </c>
    </row>
    <row r="10" customFormat="false" ht="30" hidden="false" customHeight="true" outlineLevel="0" collapsed="false">
      <c r="B10" s="47" t="s">
        <v>128</v>
      </c>
      <c r="C10" s="32" t="s">
        <v>361</v>
      </c>
      <c r="D10" s="32" t="s">
        <v>362</v>
      </c>
      <c r="E10" s="32" t="s">
        <v>354</v>
      </c>
      <c r="F10" s="48" t="s">
        <v>52</v>
      </c>
    </row>
    <row r="12" customFormat="false" ht="24.75" hidden="false" customHeight="true" outlineLevel="0" collapsed="false">
      <c r="A12" s="49" t="s">
        <v>363</v>
      </c>
      <c r="B12" s="49"/>
      <c r="C12" s="49"/>
      <c r="D12" s="49"/>
      <c r="E12" s="49"/>
      <c r="F12" s="49"/>
      <c r="G12" s="49"/>
      <c r="H12" s="49"/>
    </row>
    <row r="13" customFormat="false" ht="18" hidden="false" customHeight="true" outlineLevel="0" collapsed="false">
      <c r="B13" s="46" t="s">
        <v>230</v>
      </c>
      <c r="C13" s="46" t="s">
        <v>348</v>
      </c>
      <c r="D13" s="46" t="s">
        <v>349</v>
      </c>
      <c r="E13" s="46" t="s">
        <v>350</v>
      </c>
      <c r="F13" s="46" t="s">
        <v>351</v>
      </c>
      <c r="G13" s="46"/>
    </row>
    <row r="14" customFormat="false" ht="30" hidden="false" customHeight="true" outlineLevel="0" collapsed="false">
      <c r="B14" s="47" t="s">
        <v>143</v>
      </c>
      <c r="C14" s="32" t="s">
        <v>364</v>
      </c>
      <c r="D14" s="32" t="s">
        <v>365</v>
      </c>
      <c r="E14" s="32" t="s">
        <v>366</v>
      </c>
      <c r="F14" s="50" t="s">
        <v>61</v>
      </c>
    </row>
    <row r="15" customFormat="false" ht="30" hidden="false" customHeight="true" outlineLevel="0" collapsed="false">
      <c r="B15" s="47" t="s">
        <v>133</v>
      </c>
      <c r="C15" s="32" t="s">
        <v>367</v>
      </c>
      <c r="D15" s="32" t="s">
        <v>368</v>
      </c>
      <c r="E15" s="32" t="s">
        <v>366</v>
      </c>
      <c r="F15" s="50" t="s">
        <v>61</v>
      </c>
    </row>
    <row r="16" customFormat="false" ht="30" hidden="false" customHeight="true" outlineLevel="0" collapsed="false">
      <c r="B16" s="47" t="s">
        <v>138</v>
      </c>
      <c r="C16" s="32" t="s">
        <v>369</v>
      </c>
      <c r="D16" s="32" t="s">
        <v>370</v>
      </c>
      <c r="E16" s="32" t="s">
        <v>366</v>
      </c>
      <c r="F16" s="50" t="s">
        <v>61</v>
      </c>
    </row>
    <row r="17" customFormat="false" ht="30" hidden="false" customHeight="true" outlineLevel="0" collapsed="false">
      <c r="B17" s="47" t="s">
        <v>148</v>
      </c>
      <c r="C17" s="32" t="s">
        <v>371</v>
      </c>
      <c r="D17" s="32" t="s">
        <v>362</v>
      </c>
      <c r="E17" s="32" t="s">
        <v>366</v>
      </c>
      <c r="F17" s="50" t="s">
        <v>61</v>
      </c>
    </row>
    <row r="18" customFormat="false" ht="30" hidden="false" customHeight="true" outlineLevel="0" collapsed="false">
      <c r="B18" s="47" t="s">
        <v>113</v>
      </c>
      <c r="C18" s="32" t="s">
        <v>372</v>
      </c>
      <c r="D18" s="32" t="s">
        <v>358</v>
      </c>
      <c r="E18" s="32" t="s">
        <v>373</v>
      </c>
      <c r="F18" s="48" t="s">
        <v>52</v>
      </c>
    </row>
    <row r="19" customFormat="false" ht="30" hidden="false" customHeight="true" outlineLevel="0" collapsed="false">
      <c r="B19" s="47" t="s">
        <v>159</v>
      </c>
      <c r="C19" s="32" t="s">
        <v>374</v>
      </c>
      <c r="D19" s="32" t="s">
        <v>375</v>
      </c>
      <c r="E19" s="32" t="s">
        <v>373</v>
      </c>
      <c r="F19" s="50" t="s">
        <v>61</v>
      </c>
    </row>
    <row r="20" customFormat="false" ht="30" hidden="false" customHeight="true" outlineLevel="0" collapsed="false">
      <c r="B20" s="47" t="s">
        <v>169</v>
      </c>
      <c r="C20" s="32" t="s">
        <v>376</v>
      </c>
      <c r="D20" s="32" t="s">
        <v>377</v>
      </c>
      <c r="E20" s="32" t="s">
        <v>373</v>
      </c>
      <c r="F20" s="50" t="s">
        <v>61</v>
      </c>
    </row>
    <row r="22" customFormat="false" ht="24.75" hidden="false" customHeight="true" outlineLevel="0" collapsed="false">
      <c r="A22" s="51" t="s">
        <v>378</v>
      </c>
      <c r="B22" s="51"/>
      <c r="C22" s="51"/>
      <c r="D22" s="51"/>
      <c r="E22" s="51"/>
      <c r="F22" s="51"/>
      <c r="G22" s="51"/>
      <c r="H22" s="51"/>
    </row>
    <row r="23" customFormat="false" ht="18" hidden="false" customHeight="true" outlineLevel="0" collapsed="false">
      <c r="B23" s="46" t="s">
        <v>230</v>
      </c>
      <c r="C23" s="46" t="s">
        <v>348</v>
      </c>
      <c r="D23" s="46" t="s">
        <v>349</v>
      </c>
      <c r="E23" s="46" t="s">
        <v>350</v>
      </c>
      <c r="F23" s="46" t="s">
        <v>351</v>
      </c>
      <c r="G23" s="46"/>
    </row>
    <row r="24" customFormat="false" ht="30" hidden="false" customHeight="true" outlineLevel="0" collapsed="false">
      <c r="B24" s="47" t="s">
        <v>123</v>
      </c>
      <c r="C24" s="32" t="s">
        <v>379</v>
      </c>
      <c r="D24" s="32" t="s">
        <v>380</v>
      </c>
      <c r="E24" s="32" t="s">
        <v>381</v>
      </c>
      <c r="F24" s="50" t="s">
        <v>61</v>
      </c>
    </row>
    <row r="25" customFormat="false" ht="30" hidden="false" customHeight="true" outlineLevel="0" collapsed="false">
      <c r="B25" s="47" t="s">
        <v>174</v>
      </c>
      <c r="C25" s="32" t="s">
        <v>382</v>
      </c>
      <c r="D25" s="32" t="s">
        <v>358</v>
      </c>
      <c r="E25" s="32" t="s">
        <v>381</v>
      </c>
      <c r="F25" s="50" t="s">
        <v>61</v>
      </c>
    </row>
    <row r="26" customFormat="false" ht="30" hidden="false" customHeight="true" outlineLevel="0" collapsed="false">
      <c r="B26" s="47" t="s">
        <v>164</v>
      </c>
      <c r="C26" s="32" t="s">
        <v>383</v>
      </c>
      <c r="D26" s="32" t="s">
        <v>362</v>
      </c>
      <c r="E26" s="32" t="s">
        <v>381</v>
      </c>
      <c r="F26" s="52" t="s">
        <v>156</v>
      </c>
    </row>
    <row r="27" customFormat="false" ht="30" hidden="false" customHeight="true" outlineLevel="0" collapsed="false">
      <c r="B27" s="47" t="s">
        <v>184</v>
      </c>
      <c r="C27" s="32" t="s">
        <v>384</v>
      </c>
      <c r="D27" s="32" t="s">
        <v>385</v>
      </c>
      <c r="E27" s="32" t="s">
        <v>386</v>
      </c>
      <c r="F27" s="52" t="s">
        <v>156</v>
      </c>
    </row>
    <row r="28" customFormat="false" ht="30" hidden="false" customHeight="true" outlineLevel="0" collapsed="false">
      <c r="B28" s="47" t="s">
        <v>189</v>
      </c>
      <c r="C28" s="32" t="s">
        <v>387</v>
      </c>
      <c r="D28" s="32" t="s">
        <v>358</v>
      </c>
      <c r="E28" s="32" t="s">
        <v>386</v>
      </c>
      <c r="F28" s="52" t="s">
        <v>156</v>
      </c>
    </row>
    <row r="29" customFormat="false" ht="30" hidden="false" customHeight="true" outlineLevel="0" collapsed="false">
      <c r="B29" s="47" t="s">
        <v>194</v>
      </c>
      <c r="C29" s="32" t="s">
        <v>388</v>
      </c>
      <c r="D29" s="32" t="s">
        <v>389</v>
      </c>
      <c r="E29" s="32" t="s">
        <v>386</v>
      </c>
      <c r="F29" s="52" t="s">
        <v>156</v>
      </c>
    </row>
    <row r="30" customFormat="false" ht="30" hidden="false" customHeight="true" outlineLevel="0" collapsed="false">
      <c r="B30" s="47" t="s">
        <v>204</v>
      </c>
      <c r="C30" s="32" t="s">
        <v>390</v>
      </c>
      <c r="D30" s="32" t="s">
        <v>391</v>
      </c>
      <c r="E30" s="32" t="s">
        <v>392</v>
      </c>
      <c r="F30" s="52" t="s">
        <v>156</v>
      </c>
    </row>
    <row r="31" customFormat="false" ht="30" hidden="false" customHeight="true" outlineLevel="0" collapsed="false">
      <c r="B31" s="47" t="s">
        <v>219</v>
      </c>
      <c r="C31" s="32" t="s">
        <v>393</v>
      </c>
      <c r="D31" s="32" t="s">
        <v>221</v>
      </c>
      <c r="E31" s="32" t="s">
        <v>392</v>
      </c>
      <c r="F31" s="50" t="s">
        <v>61</v>
      </c>
    </row>
    <row r="33" customFormat="false" ht="24.75" hidden="false" customHeight="true" outlineLevel="0" collapsed="false">
      <c r="A33" s="53" t="s">
        <v>394</v>
      </c>
      <c r="B33" s="53"/>
      <c r="C33" s="53"/>
      <c r="D33" s="53"/>
      <c r="E33" s="53"/>
      <c r="F33" s="53"/>
      <c r="G33" s="53"/>
      <c r="H33" s="53"/>
    </row>
    <row r="34" customFormat="false" ht="18" hidden="false" customHeight="true" outlineLevel="0" collapsed="false">
      <c r="B34" s="46" t="s">
        <v>230</v>
      </c>
      <c r="C34" s="46" t="s">
        <v>348</v>
      </c>
      <c r="D34" s="46" t="s">
        <v>349</v>
      </c>
      <c r="E34" s="46" t="s">
        <v>350</v>
      </c>
      <c r="F34" s="46" t="s">
        <v>351</v>
      </c>
      <c r="G34" s="46"/>
    </row>
    <row r="35" customFormat="false" ht="30" hidden="false" customHeight="true" outlineLevel="0" collapsed="false">
      <c r="B35" s="47" t="s">
        <v>153</v>
      </c>
      <c r="C35" s="32" t="s">
        <v>395</v>
      </c>
      <c r="D35" s="32" t="s">
        <v>370</v>
      </c>
      <c r="E35" s="32" t="s">
        <v>43</v>
      </c>
      <c r="F35" s="52" t="s">
        <v>156</v>
      </c>
    </row>
    <row r="36" customFormat="false" ht="30" hidden="false" customHeight="true" outlineLevel="0" collapsed="false">
      <c r="B36" s="47" t="s">
        <v>199</v>
      </c>
      <c r="C36" s="32" t="s">
        <v>396</v>
      </c>
      <c r="D36" s="32" t="s">
        <v>397</v>
      </c>
      <c r="E36" s="32" t="s">
        <v>43</v>
      </c>
      <c r="F36" s="52" t="s">
        <v>156</v>
      </c>
    </row>
    <row r="37" customFormat="false" ht="30" hidden="false" customHeight="true" outlineLevel="0" collapsed="false">
      <c r="B37" s="47" t="s">
        <v>209</v>
      </c>
      <c r="C37" s="32" t="s">
        <v>398</v>
      </c>
      <c r="D37" s="32" t="s">
        <v>360</v>
      </c>
      <c r="E37" s="32" t="s">
        <v>43</v>
      </c>
      <c r="F37" s="54" t="s">
        <v>399</v>
      </c>
    </row>
    <row r="38" customFormat="false" ht="30" hidden="false" customHeight="true" outlineLevel="0" collapsed="false">
      <c r="B38" s="47" t="s">
        <v>214</v>
      </c>
      <c r="C38" s="32" t="s">
        <v>400</v>
      </c>
      <c r="D38" s="32" t="s">
        <v>377</v>
      </c>
      <c r="E38" s="32" t="s">
        <v>43</v>
      </c>
      <c r="F38" s="52" t="s">
        <v>156</v>
      </c>
    </row>
    <row r="39" customFormat="false" ht="30" hidden="false" customHeight="true" outlineLevel="0" collapsed="false">
      <c r="B39" s="47" t="s">
        <v>224</v>
      </c>
      <c r="C39" s="32" t="s">
        <v>401</v>
      </c>
      <c r="D39" s="32" t="s">
        <v>402</v>
      </c>
      <c r="E39" s="32" t="s">
        <v>43</v>
      </c>
      <c r="F39" s="52" t="s">
        <v>156</v>
      </c>
    </row>
  </sheetData>
  <mergeCells count="5">
    <mergeCell ref="A1:H2"/>
    <mergeCell ref="A4:H4"/>
    <mergeCell ref="A12:H12"/>
    <mergeCell ref="A22:H2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2026-06-12T17:28:01Z</dcterms:created>
  <dc:creator>openpyxl</dc:creator>
  <dc:description/>
  <dc:language>en-US</dc:language>
  <cp:lastModifiedBy/>
  <dcterms:modified xsi:type="dcterms:W3CDTF">2026-06-12T17:28:14Z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